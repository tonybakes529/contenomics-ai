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ty" sheetId="1" state="visible" r:id="rId1"/>
    <sheet name="Creative" sheetId="2" state="visible" r:id="rId2"/>
    <sheet name="Performance" sheetId="3" state="visible" r:id="rId3"/>
    <sheet name="Conversion" sheetId="4" state="visible" r:id="rId4"/>
    <sheet name="Dashboard" sheetId="5" state="visible" r:id="rId5"/>
    <sheet name="AI Ex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pivotButton="0" quotePrefix="0" xfId="0"/>
    <xf numFmtId="49" fontId="2" fillId="0" borderId="0" pivotButton="0" quotePrefix="0" xfId="0"/>
    <xf numFmtId="10" fontId="2" fillId="0" borderId="0" pivotButton="0" quotePrefix="0" xfId="0"/>
    <xf numFmtId="3" fontId="2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2" customWidth="1" min="3" max="3"/>
    <col width="36" customWidth="1" min="4" max="4"/>
    <col width="10" customWidth="1" min="5" max="5"/>
    <col width="22" customWidth="1" min="6" max="6"/>
  </cols>
  <sheetData>
    <row r="1">
      <c r="A1" s="1" t="inlineStr">
        <is>
          <t>Video ID</t>
        </is>
      </c>
      <c r="B1" s="1" t="inlineStr">
        <is>
          <t>Date Posted</t>
        </is>
      </c>
      <c r="C1" s="1" t="inlineStr">
        <is>
          <t>Final Title</t>
        </is>
      </c>
      <c r="D1" s="1" t="inlineStr">
        <is>
          <t>Video URL</t>
        </is>
      </c>
      <c r="E1" s="1" t="inlineStr">
        <is>
          <t>Length</t>
        </is>
      </c>
      <c r="F1" s="1" t="inlineStr">
        <is>
          <t>Topic</t>
        </is>
      </c>
    </row>
    <row r="2">
      <c r="A2" s="2" t="inlineStr">
        <is>
          <t>LF-001</t>
        </is>
      </c>
      <c r="B2" s="3" t="n"/>
      <c r="C2" s="2" t="n"/>
      <c r="D2" s="2" t="n"/>
      <c r="E2" s="4" t="n"/>
      <c r="F2" s="2" t="n"/>
    </row>
    <row r="3">
      <c r="A3" s="2" t="inlineStr">
        <is>
          <t>LF-002</t>
        </is>
      </c>
      <c r="B3" s="3" t="n"/>
      <c r="C3" s="2" t="n"/>
      <c r="D3" s="2" t="n"/>
      <c r="E3" s="4" t="n"/>
      <c r="F3" s="2" t="n"/>
    </row>
    <row r="4">
      <c r="A4" s="2" t="inlineStr">
        <is>
          <t>LF-003</t>
        </is>
      </c>
      <c r="B4" s="3" t="n"/>
      <c r="C4" s="2" t="n"/>
      <c r="D4" s="2" t="n"/>
      <c r="E4" s="4" t="n"/>
      <c r="F4" s="2" t="n"/>
    </row>
    <row r="5">
      <c r="A5" s="2" t="inlineStr">
        <is>
          <t>LF-004</t>
        </is>
      </c>
      <c r="B5" s="3" t="n"/>
      <c r="C5" s="2" t="n"/>
      <c r="D5" s="2" t="n"/>
      <c r="E5" s="4" t="n"/>
      <c r="F5" s="2" t="n"/>
    </row>
    <row r="6">
      <c r="A6" s="2" t="inlineStr">
        <is>
          <t>LF-005</t>
        </is>
      </c>
      <c r="B6" s="3" t="n"/>
      <c r="C6" s="2" t="n"/>
      <c r="D6" s="2" t="n"/>
      <c r="E6" s="4" t="n"/>
      <c r="F6" s="2" t="n"/>
    </row>
    <row r="7">
      <c r="A7" s="2" t="inlineStr">
        <is>
          <t>LF-006</t>
        </is>
      </c>
      <c r="B7" s="3" t="n"/>
      <c r="C7" s="2" t="n"/>
      <c r="D7" s="2" t="n"/>
      <c r="E7" s="4" t="n"/>
      <c r="F7" s="2" t="n"/>
    </row>
    <row r="8">
      <c r="A8" s="2" t="inlineStr">
        <is>
          <t>LF-007</t>
        </is>
      </c>
      <c r="B8" s="3" t="n"/>
      <c r="C8" s="2" t="n"/>
      <c r="D8" s="2" t="n"/>
      <c r="E8" s="4" t="n"/>
      <c r="F8" s="2" t="n"/>
    </row>
    <row r="9">
      <c r="A9" s="2" t="inlineStr">
        <is>
          <t>LF-008</t>
        </is>
      </c>
      <c r="B9" s="3" t="n"/>
      <c r="C9" s="2" t="n"/>
      <c r="D9" s="2" t="n"/>
      <c r="E9" s="4" t="n"/>
      <c r="F9" s="2" t="n"/>
    </row>
    <row r="10">
      <c r="A10" s="2" t="inlineStr">
        <is>
          <t>LF-009</t>
        </is>
      </c>
      <c r="B10" s="3" t="n"/>
      <c r="C10" s="2" t="n"/>
      <c r="D10" s="2" t="n"/>
      <c r="E10" s="4" t="n"/>
      <c r="F10" s="2" t="n"/>
    </row>
    <row r="11">
      <c r="A11" s="2" t="inlineStr">
        <is>
          <t>LF-010</t>
        </is>
      </c>
      <c r="B11" s="3" t="n"/>
      <c r="C11" s="2" t="n"/>
      <c r="D11" s="2" t="n"/>
      <c r="E11" s="4" t="n"/>
      <c r="F11" s="2" t="n"/>
    </row>
    <row r="12">
      <c r="A12" s="2" t="inlineStr">
        <is>
          <t>LF-011</t>
        </is>
      </c>
      <c r="B12" s="3" t="n"/>
      <c r="C12" s="2" t="n"/>
      <c r="D12" s="2" t="n"/>
      <c r="E12" s="4" t="n"/>
      <c r="F12" s="2" t="n"/>
    </row>
    <row r="13">
      <c r="A13" s="2" t="inlineStr">
        <is>
          <t>LF-012</t>
        </is>
      </c>
      <c r="B13" s="3" t="n"/>
      <c r="C13" s="2" t="n"/>
      <c r="D13" s="2" t="n"/>
      <c r="E13" s="4" t="n"/>
      <c r="F13" s="2" t="n"/>
    </row>
    <row r="14">
      <c r="A14" s="2" t="inlineStr">
        <is>
          <t>LF-013</t>
        </is>
      </c>
      <c r="B14" s="3" t="n"/>
      <c r="C14" s="2" t="n"/>
      <c r="D14" s="2" t="n"/>
      <c r="E14" s="4" t="n"/>
      <c r="F14" s="2" t="n"/>
    </row>
    <row r="15">
      <c r="A15" s="2" t="inlineStr">
        <is>
          <t>LF-014</t>
        </is>
      </c>
      <c r="B15" s="3" t="n"/>
      <c r="C15" s="2" t="n"/>
      <c r="D15" s="2" t="n"/>
      <c r="E15" s="4" t="n"/>
      <c r="F15" s="2" t="n"/>
    </row>
    <row r="16">
      <c r="A16" s="2" t="inlineStr">
        <is>
          <t>LF-015</t>
        </is>
      </c>
      <c r="B16" s="3" t="n"/>
      <c r="C16" s="2" t="n"/>
      <c r="D16" s="2" t="n"/>
      <c r="E16" s="4" t="n"/>
      <c r="F16" s="2" t="n"/>
    </row>
    <row r="17">
      <c r="A17" s="2" t="inlineStr">
        <is>
          <t>LF-016</t>
        </is>
      </c>
      <c r="B17" s="3" t="n"/>
      <c r="C17" s="2" t="n"/>
      <c r="D17" s="2" t="n"/>
      <c r="E17" s="4" t="n"/>
      <c r="F17" s="2" t="n"/>
    </row>
    <row r="18">
      <c r="A18" s="2" t="inlineStr">
        <is>
          <t>LF-017</t>
        </is>
      </c>
      <c r="B18" s="3" t="n"/>
      <c r="C18" s="2" t="n"/>
      <c r="D18" s="2" t="n"/>
      <c r="E18" s="4" t="n"/>
      <c r="F18" s="2" t="n"/>
    </row>
    <row r="19">
      <c r="A19" s="2" t="inlineStr">
        <is>
          <t>LF-018</t>
        </is>
      </c>
      <c r="B19" s="3" t="n"/>
      <c r="C19" s="2" t="n"/>
      <c r="D19" s="2" t="n"/>
      <c r="E19" s="4" t="n"/>
      <c r="F19" s="2" t="n"/>
    </row>
    <row r="20">
      <c r="A20" s="2" t="inlineStr">
        <is>
          <t>LF-019</t>
        </is>
      </c>
      <c r="B20" s="3" t="n"/>
      <c r="C20" s="2" t="n"/>
      <c r="D20" s="2" t="n"/>
      <c r="E20" s="4" t="n"/>
      <c r="F20" s="2" t="n"/>
    </row>
    <row r="21">
      <c r="A21" s="2" t="inlineStr">
        <is>
          <t>LF-020</t>
        </is>
      </c>
      <c r="B21" s="3" t="n"/>
      <c r="C21" s="2" t="n"/>
      <c r="D21" s="2" t="n"/>
      <c r="E21" s="4" t="n"/>
      <c r="F21" s="2" t="n"/>
    </row>
    <row r="22">
      <c r="A22" s="2" t="inlineStr">
        <is>
          <t>LF-021</t>
        </is>
      </c>
      <c r="B22" s="3" t="n"/>
      <c r="C22" s="2" t="n"/>
      <c r="D22" s="2" t="n"/>
      <c r="E22" s="4" t="n"/>
      <c r="F22" s="2" t="n"/>
    </row>
    <row r="23">
      <c r="A23" s="2" t="inlineStr">
        <is>
          <t>LF-022</t>
        </is>
      </c>
      <c r="B23" s="3" t="n"/>
      <c r="C23" s="2" t="n"/>
      <c r="D23" s="2" t="n"/>
      <c r="E23" s="4" t="n"/>
      <c r="F23" s="2" t="n"/>
    </row>
    <row r="24">
      <c r="A24" s="2" t="inlineStr">
        <is>
          <t>LF-023</t>
        </is>
      </c>
      <c r="B24" s="3" t="n"/>
      <c r="C24" s="2" t="n"/>
      <c r="D24" s="2" t="n"/>
      <c r="E24" s="4" t="n"/>
      <c r="F24" s="2" t="n"/>
    </row>
    <row r="25">
      <c r="A25" s="2" t="inlineStr">
        <is>
          <t>LF-024</t>
        </is>
      </c>
      <c r="B25" s="3" t="n"/>
      <c r="C25" s="2" t="n"/>
      <c r="D25" s="2" t="n"/>
      <c r="E25" s="4" t="n"/>
      <c r="F25" s="2" t="n"/>
    </row>
    <row r="26">
      <c r="A26" s="2" t="inlineStr">
        <is>
          <t>LF-025</t>
        </is>
      </c>
      <c r="B26" s="3" t="n"/>
      <c r="C26" s="2" t="n"/>
      <c r="D26" s="2" t="n"/>
      <c r="E26" s="4" t="n"/>
      <c r="F26" s="2" t="n"/>
    </row>
    <row r="27">
      <c r="A27" s="2" t="inlineStr">
        <is>
          <t>LF-026</t>
        </is>
      </c>
      <c r="B27" s="3" t="n"/>
      <c r="C27" s="2" t="n"/>
      <c r="D27" s="2" t="n"/>
      <c r="E27" s="4" t="n"/>
      <c r="F27" s="2" t="n"/>
    </row>
    <row r="28">
      <c r="A28" s="2" t="inlineStr">
        <is>
          <t>LF-027</t>
        </is>
      </c>
      <c r="B28" s="3" t="n"/>
      <c r="C28" s="2" t="n"/>
      <c r="D28" s="2" t="n"/>
      <c r="E28" s="4" t="n"/>
      <c r="F28" s="2" t="n"/>
    </row>
    <row r="29">
      <c r="A29" s="2" t="inlineStr">
        <is>
          <t>LF-028</t>
        </is>
      </c>
      <c r="B29" s="3" t="n"/>
      <c r="C29" s="2" t="n"/>
      <c r="D29" s="2" t="n"/>
      <c r="E29" s="4" t="n"/>
      <c r="F29" s="2" t="n"/>
    </row>
    <row r="30">
      <c r="A30" s="2" t="inlineStr">
        <is>
          <t>LF-029</t>
        </is>
      </c>
      <c r="B30" s="3" t="n"/>
      <c r="C30" s="2" t="n"/>
      <c r="D30" s="2" t="n"/>
      <c r="E30" s="4" t="n"/>
      <c r="F30" s="2" t="n"/>
    </row>
    <row r="31">
      <c r="A31" s="2" t="inlineStr">
        <is>
          <t>LF-030</t>
        </is>
      </c>
      <c r="B31" s="3" t="n"/>
      <c r="C31" s="2" t="n"/>
      <c r="D31" s="2" t="n"/>
      <c r="E31" s="4" t="n"/>
      <c r="F31" s="2" t="n"/>
    </row>
    <row r="32">
      <c r="A32" s="2" t="inlineStr">
        <is>
          <t>LF-031</t>
        </is>
      </c>
      <c r="B32" s="3" t="n"/>
      <c r="C32" s="2" t="n"/>
      <c r="D32" s="2" t="n"/>
      <c r="E32" s="4" t="n"/>
      <c r="F32" s="2" t="n"/>
    </row>
    <row r="33">
      <c r="A33" s="2" t="inlineStr">
        <is>
          <t>LF-032</t>
        </is>
      </c>
      <c r="B33" s="3" t="n"/>
      <c r="C33" s="2" t="n"/>
      <c r="D33" s="2" t="n"/>
      <c r="E33" s="4" t="n"/>
      <c r="F33" s="2" t="n"/>
    </row>
    <row r="34">
      <c r="A34" s="2" t="inlineStr">
        <is>
          <t>LF-033</t>
        </is>
      </c>
      <c r="B34" s="3" t="n"/>
      <c r="C34" s="2" t="n"/>
      <c r="D34" s="2" t="n"/>
      <c r="E34" s="4" t="n"/>
      <c r="F34" s="2" t="n"/>
    </row>
    <row r="35">
      <c r="A35" s="2" t="inlineStr">
        <is>
          <t>LF-034</t>
        </is>
      </c>
      <c r="B35" s="3" t="n"/>
      <c r="C35" s="2" t="n"/>
      <c r="D35" s="2" t="n"/>
      <c r="E35" s="4" t="n"/>
      <c r="F35" s="2" t="n"/>
    </row>
    <row r="36">
      <c r="A36" s="2" t="inlineStr">
        <is>
          <t>LF-035</t>
        </is>
      </c>
      <c r="B36" s="3" t="n"/>
      <c r="C36" s="2" t="n"/>
      <c r="D36" s="2" t="n"/>
      <c r="E36" s="4" t="n"/>
      <c r="F36" s="2" t="n"/>
    </row>
    <row r="37">
      <c r="A37" s="2" t="inlineStr">
        <is>
          <t>LF-036</t>
        </is>
      </c>
      <c r="B37" s="3" t="n"/>
      <c r="C37" s="2" t="n"/>
      <c r="D37" s="2" t="n"/>
      <c r="E37" s="4" t="n"/>
      <c r="F37" s="2" t="n"/>
    </row>
    <row r="38">
      <c r="A38" s="2" t="inlineStr">
        <is>
          <t>LF-037</t>
        </is>
      </c>
      <c r="B38" s="3" t="n"/>
      <c r="C38" s="2" t="n"/>
      <c r="D38" s="2" t="n"/>
      <c r="E38" s="4" t="n"/>
      <c r="F38" s="2" t="n"/>
    </row>
    <row r="39">
      <c r="A39" s="2" t="inlineStr">
        <is>
          <t>LF-038</t>
        </is>
      </c>
      <c r="B39" s="3" t="n"/>
      <c r="C39" s="2" t="n"/>
      <c r="D39" s="2" t="n"/>
      <c r="E39" s="4" t="n"/>
      <c r="F39" s="2" t="n"/>
    </row>
    <row r="40">
      <c r="A40" s="2" t="inlineStr">
        <is>
          <t>LF-039</t>
        </is>
      </c>
      <c r="B40" s="3" t="n"/>
      <c r="C40" s="2" t="n"/>
      <c r="D40" s="2" t="n"/>
      <c r="E40" s="4" t="n"/>
      <c r="F40" s="2" t="n"/>
    </row>
    <row r="41">
      <c r="A41" s="2" t="inlineStr">
        <is>
          <t>LF-040</t>
        </is>
      </c>
      <c r="B41" s="3" t="n"/>
      <c r="C41" s="2" t="n"/>
      <c r="D41" s="2" t="n"/>
      <c r="E41" s="4" t="n"/>
      <c r="F41" s="2" t="n"/>
    </row>
    <row r="42">
      <c r="A42" s="2" t="inlineStr">
        <is>
          <t>LF-041</t>
        </is>
      </c>
      <c r="B42" s="3" t="n"/>
      <c r="C42" s="2" t="n"/>
      <c r="D42" s="2" t="n"/>
      <c r="E42" s="4" t="n"/>
      <c r="F42" s="2" t="n"/>
    </row>
    <row r="43">
      <c r="A43" s="2" t="inlineStr">
        <is>
          <t>LF-042</t>
        </is>
      </c>
      <c r="B43" s="3" t="n"/>
      <c r="C43" s="2" t="n"/>
      <c r="D43" s="2" t="n"/>
      <c r="E43" s="4" t="n"/>
      <c r="F43" s="2" t="n"/>
    </row>
    <row r="44">
      <c r="A44" s="2" t="inlineStr">
        <is>
          <t>LF-043</t>
        </is>
      </c>
      <c r="B44" s="3" t="n"/>
      <c r="C44" s="2" t="n"/>
      <c r="D44" s="2" t="n"/>
      <c r="E44" s="4" t="n"/>
      <c r="F44" s="2" t="n"/>
    </row>
    <row r="45">
      <c r="A45" s="2" t="inlineStr">
        <is>
          <t>LF-044</t>
        </is>
      </c>
      <c r="B45" s="3" t="n"/>
      <c r="C45" s="2" t="n"/>
      <c r="D45" s="2" t="n"/>
      <c r="E45" s="4" t="n"/>
      <c r="F45" s="2" t="n"/>
    </row>
    <row r="46">
      <c r="A46" s="2" t="inlineStr">
        <is>
          <t>LF-045</t>
        </is>
      </c>
      <c r="B46" s="3" t="n"/>
      <c r="C46" s="2" t="n"/>
      <c r="D46" s="2" t="n"/>
      <c r="E46" s="4" t="n"/>
      <c r="F46" s="2" t="n"/>
    </row>
    <row r="47">
      <c r="A47" s="2" t="inlineStr">
        <is>
          <t>LF-046</t>
        </is>
      </c>
      <c r="B47" s="3" t="n"/>
      <c r="C47" s="2" t="n"/>
      <c r="D47" s="2" t="n"/>
      <c r="E47" s="4" t="n"/>
      <c r="F47" s="2" t="n"/>
    </row>
    <row r="48">
      <c r="A48" s="2" t="inlineStr">
        <is>
          <t>LF-047</t>
        </is>
      </c>
      <c r="B48" s="3" t="n"/>
      <c r="C48" s="2" t="n"/>
      <c r="D48" s="2" t="n"/>
      <c r="E48" s="4" t="n"/>
      <c r="F48" s="2" t="n"/>
    </row>
    <row r="49">
      <c r="A49" s="2" t="inlineStr">
        <is>
          <t>LF-048</t>
        </is>
      </c>
      <c r="B49" s="3" t="n"/>
      <c r="C49" s="2" t="n"/>
      <c r="D49" s="2" t="n"/>
      <c r="E49" s="4" t="n"/>
      <c r="F49" s="2" t="n"/>
    </row>
    <row r="50">
      <c r="A50" s="2" t="inlineStr">
        <is>
          <t>LF-049</t>
        </is>
      </c>
      <c r="B50" s="3" t="n"/>
      <c r="C50" s="2" t="n"/>
      <c r="D50" s="2" t="n"/>
      <c r="E50" s="4" t="n"/>
      <c r="F50" s="2" t="n"/>
    </row>
    <row r="51">
      <c r="A51" s="2" t="inlineStr">
        <is>
          <t>LF-050</t>
        </is>
      </c>
      <c r="B51" s="3" t="n"/>
      <c r="C51" s="2" t="n"/>
      <c r="D51" s="2" t="n"/>
      <c r="E51" s="4" t="n"/>
      <c r="F5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8" customWidth="1" min="4" max="4"/>
    <col width="14" customWidth="1" min="5" max="5"/>
    <col width="14" customWidth="1" min="6" max="6"/>
    <col width="36" customWidth="1" min="7" max="7"/>
    <col width="9" customWidth="1" min="8" max="8"/>
    <col width="14" customWidth="1" min="9" max="9"/>
    <col width="12" customWidth="1" min="10" max="10"/>
    <col width="24" customWidth="1" min="11" max="11"/>
    <col width="13" customWidth="1" min="12" max="12"/>
    <col width="14" customWidth="1" min="13" max="13"/>
    <col width="42" customWidth="1" min="14" max="14"/>
    <col width="18" customWidth="1" min="15" max="15"/>
    <col width="16" customWidth="1" min="16" max="16"/>
    <col width="18" customWidth="1" min="17" max="17"/>
  </cols>
  <sheetData>
    <row r="1">
      <c r="A1" s="1" t="inlineStr">
        <is>
          <t>Video ID</t>
        </is>
      </c>
      <c r="B1" s="1" t="inlineStr">
        <is>
          <t>A/B Title 1</t>
        </is>
      </c>
      <c r="C1" s="1" t="inlineStr">
        <is>
          <t>A/B Title 2</t>
        </is>
      </c>
      <c r="D1" s="1" t="inlineStr">
        <is>
          <t>A/B Title 3</t>
        </is>
      </c>
      <c r="E1" s="1" t="inlineStr">
        <is>
          <t>Winning Title #</t>
        </is>
      </c>
      <c r="F1" s="1" t="inlineStr">
        <is>
          <t>Winning Style</t>
        </is>
      </c>
      <c r="G1" s="1" t="inlineStr">
        <is>
          <t>Thumbnail URL</t>
        </is>
      </c>
      <c r="H1" s="1" t="inlineStr">
        <is>
          <t>Face Y/N</t>
        </is>
      </c>
      <c r="I1" s="1" t="inlineStr">
        <is>
          <t>Face Emotion</t>
        </is>
      </c>
      <c r="J1" s="1" t="inlineStr">
        <is>
          <t>Word Count</t>
        </is>
      </c>
      <c r="K1" s="1" t="inlineStr">
        <is>
          <t>Words Used</t>
        </is>
      </c>
      <c r="L1" s="1" t="inlineStr">
        <is>
          <t>Background</t>
        </is>
      </c>
      <c r="M1" s="1" t="inlineStr">
        <is>
          <t>Color Palette</t>
        </is>
      </c>
      <c r="N1" s="1" t="inlineStr">
        <is>
          <t>Hook Script</t>
        </is>
      </c>
      <c r="O1" s="1" t="inlineStr">
        <is>
          <t>Hook Style</t>
        </is>
      </c>
      <c r="P1" s="1" t="inlineStr">
        <is>
          <t>Intro Length sec</t>
        </is>
      </c>
      <c r="Q1" s="1" t="inlineStr">
        <is>
          <t>Time-to-Value sec</t>
        </is>
      </c>
    </row>
    <row r="2">
      <c r="A2" s="2">
        <f>IF(Identity!A2="","",Identity!A2)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>
        <f>IF(Identity!A3="","",Identity!A3)</f>
        <v/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>
        <f>IF(Identity!A4="","",Identity!A4)</f>
        <v/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>
        <f>IF(Identity!A5="","",Identity!A5)</f>
        <v/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>
        <f>IF(Identity!A6="","",Identity!A6)</f>
        <v/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>
        <f>IF(Identity!A7="","",Identity!A7)</f>
        <v/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>
        <f>IF(Identity!A8="","",Identity!A8)</f>
        <v/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>
        <f>IF(Identity!A9="","",Identity!A9)</f>
        <v/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>
        <f>IF(Identity!A10="","",Identity!A10)</f>
        <v/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>
        <f>IF(Identity!A11="","",Identity!A11)</f>
        <v/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>
        <f>IF(Identity!A12="","",Identity!A12)</f>
        <v/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>
        <f>IF(Identity!A13="","",Identity!A13)</f>
        <v/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>
        <f>IF(Identity!A14="","",Identity!A14)</f>
        <v/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>
        <f>IF(Identity!A15="","",Identity!A15)</f>
        <v/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>
        <f>IF(Identity!A16="","",Identity!A16)</f>
        <v/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>
        <f>IF(Identity!A17="","",Identity!A17)</f>
        <v/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>
        <f>IF(Identity!A18="","",Identity!A18)</f>
        <v/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>
        <f>IF(Identity!A19="","",Identity!A19)</f>
        <v/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>
        <f>IF(Identity!A20="","",Identity!A20)</f>
        <v/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>
        <f>IF(Identity!A21="","",Identity!A21)</f>
        <v/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>
        <f>IF(Identity!A22="","",Identity!A22)</f>
        <v/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>
        <f>IF(Identity!A23="","",Identity!A23)</f>
        <v/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>
        <f>IF(Identity!A24="","",Identity!A24)</f>
        <v/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>
        <f>IF(Identity!A25="","",Identity!A25)</f>
        <v/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>
        <f>IF(Identity!A26="","",Identity!A26)</f>
        <v/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>
        <f>IF(Identity!A27="","",Identity!A27)</f>
        <v/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>
        <f>IF(Identity!A28="","",Identity!A28)</f>
        <v/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>
        <f>IF(Identity!A29="","",Identity!A29)</f>
        <v/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>
        <f>IF(Identity!A30="","",Identity!A30)</f>
        <v/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>
        <f>IF(Identity!A31="","",Identity!A31)</f>
        <v/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>
        <f>IF(Identity!A32="","",Identity!A32)</f>
        <v/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>
        <f>IF(Identity!A33="","",Identity!A33)</f>
        <v/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>
        <f>IF(Identity!A34="","",Identity!A34)</f>
        <v/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>
        <f>IF(Identity!A35="","",Identity!A35)</f>
        <v/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>
        <f>IF(Identity!A36="","",Identity!A36)</f>
        <v/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>
        <f>IF(Identity!A37="","",Identity!A37)</f>
        <v/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>
        <f>IF(Identity!A38="","",Identity!A38)</f>
        <v/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>
        <f>IF(Identity!A39="","",Identity!A39)</f>
        <v/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>
        <f>IF(Identity!A40="","",Identity!A40)</f>
        <v/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>
        <f>IF(Identity!A41="","",Identity!A41)</f>
        <v/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>
        <f>IF(Identity!A42="","",Identity!A42)</f>
        <v/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>
        <f>IF(Identity!A43="","",Identity!A43)</f>
        <v/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>
        <f>IF(Identity!A44="","",Identity!A44)</f>
        <v/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>
        <f>IF(Identity!A45="","",Identity!A45)</f>
        <v/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>
        <f>IF(Identity!A46="","",Identity!A46)</f>
        <v/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>
        <f>IF(Identity!A47="","",Identity!A47)</f>
        <v/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>
        <f>IF(Identity!A48="","",Identity!A48)</f>
        <v/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>
        <f>IF(Identity!A49="","",Identity!A49)</f>
        <v/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>
        <f>IF(Identity!A50="","",Identity!A50)</f>
        <v/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>
        <f>IF(Identity!A51="","",Identity!A51)</f>
        <v/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</sheetData>
  <dataValidations count="7">
    <dataValidation sqref="E2:E51" showDropDown="0" showInputMessage="0" showErrorMessage="0" allowBlank="1" errorTitle="Invalid entry" error="Pick a value from the list" type="list">
      <formula1>"1,2,3"</formula1>
    </dataValidation>
    <dataValidation sqref="F2:F51" showDropDown="0" showInputMessage="0" showErrorMessage="0" allowBlank="1" errorTitle="Invalid entry" error="Pick a value from the list" type="list">
      <formula1>"Curiosity,List,How-To,Question,Shock"</formula1>
    </dataValidation>
    <dataValidation sqref="H2:H51" showDropDown="0" showInputMessage="0" showErrorMessage="0" allowBlank="1" errorTitle="Invalid entry" error="Pick a value from the list" type="list">
      <formula1>"Y,N"</formula1>
    </dataValidation>
    <dataValidation sqref="I2:I51" showDropDown="0" showInputMessage="0" showErrorMessage="0" allowBlank="1" errorTitle="Invalid entry" error="Pick a value from the list" type="list">
      <formula1>"Shock,Smile,Serious,Curious,None"</formula1>
    </dataValidation>
    <dataValidation sqref="L2:L51" showDropDown="0" showInputMessage="0" showErrorMessage="0" allowBlank="1" errorTitle="Invalid entry" error="Pick a value from the list" type="list">
      <formula1>"Solid,Scene,Gradient,Photo"</formula1>
    </dataValidation>
    <dataValidation sqref="M2:M51" showDropDown="0" showInputMessage="0" showErrorMessage="0" allowBlank="1" errorTitle="Invalid entry" error="Pick a value from the list" type="list">
      <formula1>"Bright,Dark,Mixed"</formula1>
    </dataValidation>
    <dataValidation sqref="O2:O51" showDropDown="0" showInputMessage="0" showErrorMessage="0" allowBlank="1" errorTitle="Invalid entry" error="Pick a value from the list" type="list">
      <formula1>"Question,Stat,Story,Bold Claim,Pattern Interrupt"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0" customWidth="1" min="7" max="7"/>
    <col width="14" customWidth="1" min="8" max="8"/>
    <col width="14" customWidth="1" min="9" max="9"/>
  </cols>
  <sheetData>
    <row r="1">
      <c r="A1" s="1" t="inlineStr">
        <is>
          <t>Video ID</t>
        </is>
      </c>
      <c r="B1" s="1" t="inlineStr">
        <is>
          <t>24hr CTR%</t>
        </is>
      </c>
      <c r="C1" s="1" t="inlineStr">
        <is>
          <t>7-day CTR%</t>
        </is>
      </c>
      <c r="D1" s="1" t="inlineStr">
        <is>
          <t>30-day CTR%</t>
        </is>
      </c>
      <c r="E1" s="1" t="inlineStr">
        <is>
          <t>Drop-off Rate%</t>
        </is>
      </c>
      <c r="F1" s="1" t="inlineStr">
        <is>
          <t>Drop-off Timestamp</t>
        </is>
      </c>
      <c r="G1" s="1" t="inlineStr">
        <is>
          <t>AVD</t>
        </is>
      </c>
      <c r="H1" s="1" t="inlineStr">
        <is>
          <t>7-day Views</t>
        </is>
      </c>
      <c r="I1" s="1" t="inlineStr">
        <is>
          <t>30-day Views</t>
        </is>
      </c>
    </row>
    <row r="2">
      <c r="A2" s="2">
        <f>IF(Identity!A2="","",Identity!A2)</f>
        <v/>
      </c>
      <c r="B2" s="5" t="n"/>
      <c r="C2" s="5" t="n"/>
      <c r="D2" s="5" t="n"/>
      <c r="E2" s="5" t="n"/>
      <c r="F2" s="4" t="n"/>
      <c r="G2" s="4" t="n"/>
      <c r="H2" s="6" t="n"/>
      <c r="I2" s="6" t="n"/>
    </row>
    <row r="3">
      <c r="A3" s="2">
        <f>IF(Identity!A3="","",Identity!A3)</f>
        <v/>
      </c>
      <c r="B3" s="5" t="n"/>
      <c r="C3" s="5" t="n"/>
      <c r="D3" s="5" t="n"/>
      <c r="E3" s="5" t="n"/>
      <c r="F3" s="4" t="n"/>
      <c r="G3" s="4" t="n"/>
      <c r="H3" s="6" t="n"/>
      <c r="I3" s="6" t="n"/>
    </row>
    <row r="4">
      <c r="A4" s="2">
        <f>IF(Identity!A4="","",Identity!A4)</f>
        <v/>
      </c>
      <c r="B4" s="5" t="n"/>
      <c r="C4" s="5" t="n"/>
      <c r="D4" s="5" t="n"/>
      <c r="E4" s="5" t="n"/>
      <c r="F4" s="4" t="n"/>
      <c r="G4" s="4" t="n"/>
      <c r="H4" s="6" t="n"/>
      <c r="I4" s="6" t="n"/>
    </row>
    <row r="5">
      <c r="A5" s="2">
        <f>IF(Identity!A5="","",Identity!A5)</f>
        <v/>
      </c>
      <c r="B5" s="5" t="n"/>
      <c r="C5" s="5" t="n"/>
      <c r="D5" s="5" t="n"/>
      <c r="E5" s="5" t="n"/>
      <c r="F5" s="4" t="n"/>
      <c r="G5" s="4" t="n"/>
      <c r="H5" s="6" t="n"/>
      <c r="I5" s="6" t="n"/>
    </row>
    <row r="6">
      <c r="A6" s="2">
        <f>IF(Identity!A6="","",Identity!A6)</f>
        <v/>
      </c>
      <c r="B6" s="5" t="n"/>
      <c r="C6" s="5" t="n"/>
      <c r="D6" s="5" t="n"/>
      <c r="E6" s="5" t="n"/>
      <c r="F6" s="4" t="n"/>
      <c r="G6" s="4" t="n"/>
      <c r="H6" s="6" t="n"/>
      <c r="I6" s="6" t="n"/>
    </row>
    <row r="7">
      <c r="A7" s="2">
        <f>IF(Identity!A7="","",Identity!A7)</f>
        <v/>
      </c>
      <c r="B7" s="5" t="n"/>
      <c r="C7" s="5" t="n"/>
      <c r="D7" s="5" t="n"/>
      <c r="E7" s="5" t="n"/>
      <c r="F7" s="4" t="n"/>
      <c r="G7" s="4" t="n"/>
      <c r="H7" s="6" t="n"/>
      <c r="I7" s="6" t="n"/>
    </row>
    <row r="8">
      <c r="A8" s="2">
        <f>IF(Identity!A8="","",Identity!A8)</f>
        <v/>
      </c>
      <c r="B8" s="5" t="n"/>
      <c r="C8" s="5" t="n"/>
      <c r="D8" s="5" t="n"/>
      <c r="E8" s="5" t="n"/>
      <c r="F8" s="4" t="n"/>
      <c r="G8" s="4" t="n"/>
      <c r="H8" s="6" t="n"/>
      <c r="I8" s="6" t="n"/>
    </row>
    <row r="9">
      <c r="A9" s="2">
        <f>IF(Identity!A9="","",Identity!A9)</f>
        <v/>
      </c>
      <c r="B9" s="5" t="n"/>
      <c r="C9" s="5" t="n"/>
      <c r="D9" s="5" t="n"/>
      <c r="E9" s="5" t="n"/>
      <c r="F9" s="4" t="n"/>
      <c r="G9" s="4" t="n"/>
      <c r="H9" s="6" t="n"/>
      <c r="I9" s="6" t="n"/>
    </row>
    <row r="10">
      <c r="A10" s="2">
        <f>IF(Identity!A10="","",Identity!A10)</f>
        <v/>
      </c>
      <c r="B10" s="5" t="n"/>
      <c r="C10" s="5" t="n"/>
      <c r="D10" s="5" t="n"/>
      <c r="E10" s="5" t="n"/>
      <c r="F10" s="4" t="n"/>
      <c r="G10" s="4" t="n"/>
      <c r="H10" s="6" t="n"/>
      <c r="I10" s="6" t="n"/>
    </row>
    <row r="11">
      <c r="A11" s="2">
        <f>IF(Identity!A11="","",Identity!A11)</f>
        <v/>
      </c>
      <c r="B11" s="5" t="n"/>
      <c r="C11" s="5" t="n"/>
      <c r="D11" s="5" t="n"/>
      <c r="E11" s="5" t="n"/>
      <c r="F11" s="4" t="n"/>
      <c r="G11" s="4" t="n"/>
      <c r="H11" s="6" t="n"/>
      <c r="I11" s="6" t="n"/>
    </row>
    <row r="12">
      <c r="A12" s="2">
        <f>IF(Identity!A12="","",Identity!A12)</f>
        <v/>
      </c>
      <c r="B12" s="5" t="n"/>
      <c r="C12" s="5" t="n"/>
      <c r="D12" s="5" t="n"/>
      <c r="E12" s="5" t="n"/>
      <c r="F12" s="4" t="n"/>
      <c r="G12" s="4" t="n"/>
      <c r="H12" s="6" t="n"/>
      <c r="I12" s="6" t="n"/>
    </row>
    <row r="13">
      <c r="A13" s="2">
        <f>IF(Identity!A13="","",Identity!A13)</f>
        <v/>
      </c>
      <c r="B13" s="5" t="n"/>
      <c r="C13" s="5" t="n"/>
      <c r="D13" s="5" t="n"/>
      <c r="E13" s="5" t="n"/>
      <c r="F13" s="4" t="n"/>
      <c r="G13" s="4" t="n"/>
      <c r="H13" s="6" t="n"/>
      <c r="I13" s="6" t="n"/>
    </row>
    <row r="14">
      <c r="A14" s="2">
        <f>IF(Identity!A14="","",Identity!A14)</f>
        <v/>
      </c>
      <c r="B14" s="5" t="n"/>
      <c r="C14" s="5" t="n"/>
      <c r="D14" s="5" t="n"/>
      <c r="E14" s="5" t="n"/>
      <c r="F14" s="4" t="n"/>
      <c r="G14" s="4" t="n"/>
      <c r="H14" s="6" t="n"/>
      <c r="I14" s="6" t="n"/>
    </row>
    <row r="15">
      <c r="A15" s="2">
        <f>IF(Identity!A15="","",Identity!A15)</f>
        <v/>
      </c>
      <c r="B15" s="5" t="n"/>
      <c r="C15" s="5" t="n"/>
      <c r="D15" s="5" t="n"/>
      <c r="E15" s="5" t="n"/>
      <c r="F15" s="4" t="n"/>
      <c r="G15" s="4" t="n"/>
      <c r="H15" s="6" t="n"/>
      <c r="I15" s="6" t="n"/>
    </row>
    <row r="16">
      <c r="A16" s="2">
        <f>IF(Identity!A16="","",Identity!A16)</f>
        <v/>
      </c>
      <c r="B16" s="5" t="n"/>
      <c r="C16" s="5" t="n"/>
      <c r="D16" s="5" t="n"/>
      <c r="E16" s="5" t="n"/>
      <c r="F16" s="4" t="n"/>
      <c r="G16" s="4" t="n"/>
      <c r="H16" s="6" t="n"/>
      <c r="I16" s="6" t="n"/>
    </row>
    <row r="17">
      <c r="A17" s="2">
        <f>IF(Identity!A17="","",Identity!A17)</f>
        <v/>
      </c>
      <c r="B17" s="5" t="n"/>
      <c r="C17" s="5" t="n"/>
      <c r="D17" s="5" t="n"/>
      <c r="E17" s="5" t="n"/>
      <c r="F17" s="4" t="n"/>
      <c r="G17" s="4" t="n"/>
      <c r="H17" s="6" t="n"/>
      <c r="I17" s="6" t="n"/>
    </row>
    <row r="18">
      <c r="A18" s="2">
        <f>IF(Identity!A18="","",Identity!A18)</f>
        <v/>
      </c>
      <c r="B18" s="5" t="n"/>
      <c r="C18" s="5" t="n"/>
      <c r="D18" s="5" t="n"/>
      <c r="E18" s="5" t="n"/>
      <c r="F18" s="4" t="n"/>
      <c r="G18" s="4" t="n"/>
      <c r="H18" s="6" t="n"/>
      <c r="I18" s="6" t="n"/>
    </row>
    <row r="19">
      <c r="A19" s="2">
        <f>IF(Identity!A19="","",Identity!A19)</f>
        <v/>
      </c>
      <c r="B19" s="5" t="n"/>
      <c r="C19" s="5" t="n"/>
      <c r="D19" s="5" t="n"/>
      <c r="E19" s="5" t="n"/>
      <c r="F19" s="4" t="n"/>
      <c r="G19" s="4" t="n"/>
      <c r="H19" s="6" t="n"/>
      <c r="I19" s="6" t="n"/>
    </row>
    <row r="20">
      <c r="A20" s="2">
        <f>IF(Identity!A20="","",Identity!A20)</f>
        <v/>
      </c>
      <c r="B20" s="5" t="n"/>
      <c r="C20" s="5" t="n"/>
      <c r="D20" s="5" t="n"/>
      <c r="E20" s="5" t="n"/>
      <c r="F20" s="4" t="n"/>
      <c r="G20" s="4" t="n"/>
      <c r="H20" s="6" t="n"/>
      <c r="I20" s="6" t="n"/>
    </row>
    <row r="21">
      <c r="A21" s="2">
        <f>IF(Identity!A21="","",Identity!A21)</f>
        <v/>
      </c>
      <c r="B21" s="5" t="n"/>
      <c r="C21" s="5" t="n"/>
      <c r="D21" s="5" t="n"/>
      <c r="E21" s="5" t="n"/>
      <c r="F21" s="4" t="n"/>
      <c r="G21" s="4" t="n"/>
      <c r="H21" s="6" t="n"/>
      <c r="I21" s="6" t="n"/>
    </row>
    <row r="22">
      <c r="A22" s="2">
        <f>IF(Identity!A22="","",Identity!A22)</f>
        <v/>
      </c>
      <c r="B22" s="5" t="n"/>
      <c r="C22" s="5" t="n"/>
      <c r="D22" s="5" t="n"/>
      <c r="E22" s="5" t="n"/>
      <c r="F22" s="4" t="n"/>
      <c r="G22" s="4" t="n"/>
      <c r="H22" s="6" t="n"/>
      <c r="I22" s="6" t="n"/>
    </row>
    <row r="23">
      <c r="A23" s="2">
        <f>IF(Identity!A23="","",Identity!A23)</f>
        <v/>
      </c>
      <c r="B23" s="5" t="n"/>
      <c r="C23" s="5" t="n"/>
      <c r="D23" s="5" t="n"/>
      <c r="E23" s="5" t="n"/>
      <c r="F23" s="4" t="n"/>
      <c r="G23" s="4" t="n"/>
      <c r="H23" s="6" t="n"/>
      <c r="I23" s="6" t="n"/>
    </row>
    <row r="24">
      <c r="A24" s="2">
        <f>IF(Identity!A24="","",Identity!A24)</f>
        <v/>
      </c>
      <c r="B24" s="5" t="n"/>
      <c r="C24" s="5" t="n"/>
      <c r="D24" s="5" t="n"/>
      <c r="E24" s="5" t="n"/>
      <c r="F24" s="4" t="n"/>
      <c r="G24" s="4" t="n"/>
      <c r="H24" s="6" t="n"/>
      <c r="I24" s="6" t="n"/>
    </row>
    <row r="25">
      <c r="A25" s="2">
        <f>IF(Identity!A25="","",Identity!A25)</f>
        <v/>
      </c>
      <c r="B25" s="5" t="n"/>
      <c r="C25" s="5" t="n"/>
      <c r="D25" s="5" t="n"/>
      <c r="E25" s="5" t="n"/>
      <c r="F25" s="4" t="n"/>
      <c r="G25" s="4" t="n"/>
      <c r="H25" s="6" t="n"/>
      <c r="I25" s="6" t="n"/>
    </row>
    <row r="26">
      <c r="A26" s="2">
        <f>IF(Identity!A26="","",Identity!A26)</f>
        <v/>
      </c>
      <c r="B26" s="5" t="n"/>
      <c r="C26" s="5" t="n"/>
      <c r="D26" s="5" t="n"/>
      <c r="E26" s="5" t="n"/>
      <c r="F26" s="4" t="n"/>
      <c r="G26" s="4" t="n"/>
      <c r="H26" s="6" t="n"/>
      <c r="I26" s="6" t="n"/>
    </row>
    <row r="27">
      <c r="A27" s="2">
        <f>IF(Identity!A27="","",Identity!A27)</f>
        <v/>
      </c>
      <c r="B27" s="5" t="n"/>
      <c r="C27" s="5" t="n"/>
      <c r="D27" s="5" t="n"/>
      <c r="E27" s="5" t="n"/>
      <c r="F27" s="4" t="n"/>
      <c r="G27" s="4" t="n"/>
      <c r="H27" s="6" t="n"/>
      <c r="I27" s="6" t="n"/>
    </row>
    <row r="28">
      <c r="A28" s="2">
        <f>IF(Identity!A28="","",Identity!A28)</f>
        <v/>
      </c>
      <c r="B28" s="5" t="n"/>
      <c r="C28" s="5" t="n"/>
      <c r="D28" s="5" t="n"/>
      <c r="E28" s="5" t="n"/>
      <c r="F28" s="4" t="n"/>
      <c r="G28" s="4" t="n"/>
      <c r="H28" s="6" t="n"/>
      <c r="I28" s="6" t="n"/>
    </row>
    <row r="29">
      <c r="A29" s="2">
        <f>IF(Identity!A29="","",Identity!A29)</f>
        <v/>
      </c>
      <c r="B29" s="5" t="n"/>
      <c r="C29" s="5" t="n"/>
      <c r="D29" s="5" t="n"/>
      <c r="E29" s="5" t="n"/>
      <c r="F29" s="4" t="n"/>
      <c r="G29" s="4" t="n"/>
      <c r="H29" s="6" t="n"/>
      <c r="I29" s="6" t="n"/>
    </row>
    <row r="30">
      <c r="A30" s="2">
        <f>IF(Identity!A30="","",Identity!A30)</f>
        <v/>
      </c>
      <c r="B30" s="5" t="n"/>
      <c r="C30" s="5" t="n"/>
      <c r="D30" s="5" t="n"/>
      <c r="E30" s="5" t="n"/>
      <c r="F30" s="4" t="n"/>
      <c r="G30" s="4" t="n"/>
      <c r="H30" s="6" t="n"/>
      <c r="I30" s="6" t="n"/>
    </row>
    <row r="31">
      <c r="A31" s="2">
        <f>IF(Identity!A31="","",Identity!A31)</f>
        <v/>
      </c>
      <c r="B31" s="5" t="n"/>
      <c r="C31" s="5" t="n"/>
      <c r="D31" s="5" t="n"/>
      <c r="E31" s="5" t="n"/>
      <c r="F31" s="4" t="n"/>
      <c r="G31" s="4" t="n"/>
      <c r="H31" s="6" t="n"/>
      <c r="I31" s="6" t="n"/>
    </row>
    <row r="32">
      <c r="A32" s="2">
        <f>IF(Identity!A32="","",Identity!A32)</f>
        <v/>
      </c>
      <c r="B32" s="5" t="n"/>
      <c r="C32" s="5" t="n"/>
      <c r="D32" s="5" t="n"/>
      <c r="E32" s="5" t="n"/>
      <c r="F32" s="4" t="n"/>
      <c r="G32" s="4" t="n"/>
      <c r="H32" s="6" t="n"/>
      <c r="I32" s="6" t="n"/>
    </row>
    <row r="33">
      <c r="A33" s="2">
        <f>IF(Identity!A33="","",Identity!A33)</f>
        <v/>
      </c>
      <c r="B33" s="5" t="n"/>
      <c r="C33" s="5" t="n"/>
      <c r="D33" s="5" t="n"/>
      <c r="E33" s="5" t="n"/>
      <c r="F33" s="4" t="n"/>
      <c r="G33" s="4" t="n"/>
      <c r="H33" s="6" t="n"/>
      <c r="I33" s="6" t="n"/>
    </row>
    <row r="34">
      <c r="A34" s="2">
        <f>IF(Identity!A34="","",Identity!A34)</f>
        <v/>
      </c>
      <c r="B34" s="5" t="n"/>
      <c r="C34" s="5" t="n"/>
      <c r="D34" s="5" t="n"/>
      <c r="E34" s="5" t="n"/>
      <c r="F34" s="4" t="n"/>
      <c r="G34" s="4" t="n"/>
      <c r="H34" s="6" t="n"/>
      <c r="I34" s="6" t="n"/>
    </row>
    <row r="35">
      <c r="A35" s="2">
        <f>IF(Identity!A35="","",Identity!A35)</f>
        <v/>
      </c>
      <c r="B35" s="5" t="n"/>
      <c r="C35" s="5" t="n"/>
      <c r="D35" s="5" t="n"/>
      <c r="E35" s="5" t="n"/>
      <c r="F35" s="4" t="n"/>
      <c r="G35" s="4" t="n"/>
      <c r="H35" s="6" t="n"/>
      <c r="I35" s="6" t="n"/>
    </row>
    <row r="36">
      <c r="A36" s="2">
        <f>IF(Identity!A36="","",Identity!A36)</f>
        <v/>
      </c>
      <c r="B36" s="5" t="n"/>
      <c r="C36" s="5" t="n"/>
      <c r="D36" s="5" t="n"/>
      <c r="E36" s="5" t="n"/>
      <c r="F36" s="4" t="n"/>
      <c r="G36" s="4" t="n"/>
      <c r="H36" s="6" t="n"/>
      <c r="I36" s="6" t="n"/>
    </row>
    <row r="37">
      <c r="A37" s="2">
        <f>IF(Identity!A37="","",Identity!A37)</f>
        <v/>
      </c>
      <c r="B37" s="5" t="n"/>
      <c r="C37" s="5" t="n"/>
      <c r="D37" s="5" t="n"/>
      <c r="E37" s="5" t="n"/>
      <c r="F37" s="4" t="n"/>
      <c r="G37" s="4" t="n"/>
      <c r="H37" s="6" t="n"/>
      <c r="I37" s="6" t="n"/>
    </row>
    <row r="38">
      <c r="A38" s="2">
        <f>IF(Identity!A38="","",Identity!A38)</f>
        <v/>
      </c>
      <c r="B38" s="5" t="n"/>
      <c r="C38" s="5" t="n"/>
      <c r="D38" s="5" t="n"/>
      <c r="E38" s="5" t="n"/>
      <c r="F38" s="4" t="n"/>
      <c r="G38" s="4" t="n"/>
      <c r="H38" s="6" t="n"/>
      <c r="I38" s="6" t="n"/>
    </row>
    <row r="39">
      <c r="A39" s="2">
        <f>IF(Identity!A39="","",Identity!A39)</f>
        <v/>
      </c>
      <c r="B39" s="5" t="n"/>
      <c r="C39" s="5" t="n"/>
      <c r="D39" s="5" t="n"/>
      <c r="E39" s="5" t="n"/>
      <c r="F39" s="4" t="n"/>
      <c r="G39" s="4" t="n"/>
      <c r="H39" s="6" t="n"/>
      <c r="I39" s="6" t="n"/>
    </row>
    <row r="40">
      <c r="A40" s="2">
        <f>IF(Identity!A40="","",Identity!A40)</f>
        <v/>
      </c>
      <c r="B40" s="5" t="n"/>
      <c r="C40" s="5" t="n"/>
      <c r="D40" s="5" t="n"/>
      <c r="E40" s="5" t="n"/>
      <c r="F40" s="4" t="n"/>
      <c r="G40" s="4" t="n"/>
      <c r="H40" s="6" t="n"/>
      <c r="I40" s="6" t="n"/>
    </row>
    <row r="41">
      <c r="A41" s="2">
        <f>IF(Identity!A41="","",Identity!A41)</f>
        <v/>
      </c>
      <c r="B41" s="5" t="n"/>
      <c r="C41" s="5" t="n"/>
      <c r="D41" s="5" t="n"/>
      <c r="E41" s="5" t="n"/>
      <c r="F41" s="4" t="n"/>
      <c r="G41" s="4" t="n"/>
      <c r="H41" s="6" t="n"/>
      <c r="I41" s="6" t="n"/>
    </row>
    <row r="42">
      <c r="A42" s="2">
        <f>IF(Identity!A42="","",Identity!A42)</f>
        <v/>
      </c>
      <c r="B42" s="5" t="n"/>
      <c r="C42" s="5" t="n"/>
      <c r="D42" s="5" t="n"/>
      <c r="E42" s="5" t="n"/>
      <c r="F42" s="4" t="n"/>
      <c r="G42" s="4" t="n"/>
      <c r="H42" s="6" t="n"/>
      <c r="I42" s="6" t="n"/>
    </row>
    <row r="43">
      <c r="A43" s="2">
        <f>IF(Identity!A43="","",Identity!A43)</f>
        <v/>
      </c>
      <c r="B43" s="5" t="n"/>
      <c r="C43" s="5" t="n"/>
      <c r="D43" s="5" t="n"/>
      <c r="E43" s="5" t="n"/>
      <c r="F43" s="4" t="n"/>
      <c r="G43" s="4" t="n"/>
      <c r="H43" s="6" t="n"/>
      <c r="I43" s="6" t="n"/>
    </row>
    <row r="44">
      <c r="A44" s="2">
        <f>IF(Identity!A44="","",Identity!A44)</f>
        <v/>
      </c>
      <c r="B44" s="5" t="n"/>
      <c r="C44" s="5" t="n"/>
      <c r="D44" s="5" t="n"/>
      <c r="E44" s="5" t="n"/>
      <c r="F44" s="4" t="n"/>
      <c r="G44" s="4" t="n"/>
      <c r="H44" s="6" t="n"/>
      <c r="I44" s="6" t="n"/>
    </row>
    <row r="45">
      <c r="A45" s="2">
        <f>IF(Identity!A45="","",Identity!A45)</f>
        <v/>
      </c>
      <c r="B45" s="5" t="n"/>
      <c r="C45" s="5" t="n"/>
      <c r="D45" s="5" t="n"/>
      <c r="E45" s="5" t="n"/>
      <c r="F45" s="4" t="n"/>
      <c r="G45" s="4" t="n"/>
      <c r="H45" s="6" t="n"/>
      <c r="I45" s="6" t="n"/>
    </row>
    <row r="46">
      <c r="A46" s="2">
        <f>IF(Identity!A46="","",Identity!A46)</f>
        <v/>
      </c>
      <c r="B46" s="5" t="n"/>
      <c r="C46" s="5" t="n"/>
      <c r="D46" s="5" t="n"/>
      <c r="E46" s="5" t="n"/>
      <c r="F46" s="4" t="n"/>
      <c r="G46" s="4" t="n"/>
      <c r="H46" s="6" t="n"/>
      <c r="I46" s="6" t="n"/>
    </row>
    <row r="47">
      <c r="A47" s="2">
        <f>IF(Identity!A47="","",Identity!A47)</f>
        <v/>
      </c>
      <c r="B47" s="5" t="n"/>
      <c r="C47" s="5" t="n"/>
      <c r="D47" s="5" t="n"/>
      <c r="E47" s="5" t="n"/>
      <c r="F47" s="4" t="n"/>
      <c r="G47" s="4" t="n"/>
      <c r="H47" s="6" t="n"/>
      <c r="I47" s="6" t="n"/>
    </row>
    <row r="48">
      <c r="A48" s="2">
        <f>IF(Identity!A48="","",Identity!A48)</f>
        <v/>
      </c>
      <c r="B48" s="5" t="n"/>
      <c r="C48" s="5" t="n"/>
      <c r="D48" s="5" t="n"/>
      <c r="E48" s="5" t="n"/>
      <c r="F48" s="4" t="n"/>
      <c r="G48" s="4" t="n"/>
      <c r="H48" s="6" t="n"/>
      <c r="I48" s="6" t="n"/>
    </row>
    <row r="49">
      <c r="A49" s="2">
        <f>IF(Identity!A49="","",Identity!A49)</f>
        <v/>
      </c>
      <c r="B49" s="5" t="n"/>
      <c r="C49" s="5" t="n"/>
      <c r="D49" s="5" t="n"/>
      <c r="E49" s="5" t="n"/>
      <c r="F49" s="4" t="n"/>
      <c r="G49" s="4" t="n"/>
      <c r="H49" s="6" t="n"/>
      <c r="I49" s="6" t="n"/>
    </row>
    <row r="50">
      <c r="A50" s="2">
        <f>IF(Identity!A50="","",Identity!A50)</f>
        <v/>
      </c>
      <c r="B50" s="5" t="n"/>
      <c r="C50" s="5" t="n"/>
      <c r="D50" s="5" t="n"/>
      <c r="E50" s="5" t="n"/>
      <c r="F50" s="4" t="n"/>
      <c r="G50" s="4" t="n"/>
      <c r="H50" s="6" t="n"/>
      <c r="I50" s="6" t="n"/>
    </row>
    <row r="51">
      <c r="A51" s="2">
        <f>IF(Identity!A51="","",Identity!A51)</f>
        <v/>
      </c>
      <c r="B51" s="5" t="n"/>
      <c r="C51" s="5" t="n"/>
      <c r="D51" s="5" t="n"/>
      <c r="E51" s="5" t="n"/>
      <c r="F51" s="4" t="n"/>
      <c r="G51" s="4" t="n"/>
      <c r="H51" s="6" t="n"/>
      <c r="I51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6" customWidth="1" min="4" max="4"/>
    <col width="14" customWidth="1" min="5" max="5"/>
    <col width="50" customWidth="1" min="6" max="6"/>
  </cols>
  <sheetData>
    <row r="1">
      <c r="A1" s="1" t="inlineStr">
        <is>
          <t>Video ID</t>
        </is>
      </c>
      <c r="B1" s="1" t="inlineStr">
        <is>
          <t>CTAs Used</t>
        </is>
      </c>
      <c r="C1" s="1" t="inlineStr">
        <is>
          <t>Click-throughs</t>
        </is>
      </c>
      <c r="D1" s="1" t="inlineStr">
        <is>
          <t>Engagement Rate</t>
        </is>
      </c>
      <c r="E1" s="1" t="inlineStr">
        <is>
          <t>Calls Booked</t>
        </is>
      </c>
      <c r="F1" s="1" t="inlineStr">
        <is>
          <t>Notes</t>
        </is>
      </c>
    </row>
    <row r="2">
      <c r="A2" s="2">
        <f>IF(Identity!A2="","",Identity!A2)</f>
        <v/>
      </c>
      <c r="B2" s="2" t="n"/>
      <c r="C2" s="6" t="n"/>
      <c r="D2" s="5" t="n"/>
      <c r="E2" s="6" t="n"/>
      <c r="F2" s="2" t="n"/>
    </row>
    <row r="3">
      <c r="A3" s="2">
        <f>IF(Identity!A3="","",Identity!A3)</f>
        <v/>
      </c>
      <c r="B3" s="2" t="n"/>
      <c r="C3" s="6" t="n"/>
      <c r="D3" s="5" t="n"/>
      <c r="E3" s="6" t="n"/>
      <c r="F3" s="2" t="n"/>
    </row>
    <row r="4">
      <c r="A4" s="2">
        <f>IF(Identity!A4="","",Identity!A4)</f>
        <v/>
      </c>
      <c r="B4" s="2" t="n"/>
      <c r="C4" s="6" t="n"/>
      <c r="D4" s="5" t="n"/>
      <c r="E4" s="6" t="n"/>
      <c r="F4" s="2" t="n"/>
    </row>
    <row r="5">
      <c r="A5" s="2">
        <f>IF(Identity!A5="","",Identity!A5)</f>
        <v/>
      </c>
      <c r="B5" s="2" t="n"/>
      <c r="C5" s="6" t="n"/>
      <c r="D5" s="5" t="n"/>
      <c r="E5" s="6" t="n"/>
      <c r="F5" s="2" t="n"/>
    </row>
    <row r="6">
      <c r="A6" s="2">
        <f>IF(Identity!A6="","",Identity!A6)</f>
        <v/>
      </c>
      <c r="B6" s="2" t="n"/>
      <c r="C6" s="6" t="n"/>
      <c r="D6" s="5" t="n"/>
      <c r="E6" s="6" t="n"/>
      <c r="F6" s="2" t="n"/>
    </row>
    <row r="7">
      <c r="A7" s="2">
        <f>IF(Identity!A7="","",Identity!A7)</f>
        <v/>
      </c>
      <c r="B7" s="2" t="n"/>
      <c r="C7" s="6" t="n"/>
      <c r="D7" s="5" t="n"/>
      <c r="E7" s="6" t="n"/>
      <c r="F7" s="2" t="n"/>
    </row>
    <row r="8">
      <c r="A8" s="2">
        <f>IF(Identity!A8="","",Identity!A8)</f>
        <v/>
      </c>
      <c r="B8" s="2" t="n"/>
      <c r="C8" s="6" t="n"/>
      <c r="D8" s="5" t="n"/>
      <c r="E8" s="6" t="n"/>
      <c r="F8" s="2" t="n"/>
    </row>
    <row r="9">
      <c r="A9" s="2">
        <f>IF(Identity!A9="","",Identity!A9)</f>
        <v/>
      </c>
      <c r="B9" s="2" t="n"/>
      <c r="C9" s="6" t="n"/>
      <c r="D9" s="5" t="n"/>
      <c r="E9" s="6" t="n"/>
      <c r="F9" s="2" t="n"/>
    </row>
    <row r="10">
      <c r="A10" s="2">
        <f>IF(Identity!A10="","",Identity!A10)</f>
        <v/>
      </c>
      <c r="B10" s="2" t="n"/>
      <c r="C10" s="6" t="n"/>
      <c r="D10" s="5" t="n"/>
      <c r="E10" s="6" t="n"/>
      <c r="F10" s="2" t="n"/>
    </row>
    <row r="11">
      <c r="A11" s="2">
        <f>IF(Identity!A11="","",Identity!A11)</f>
        <v/>
      </c>
      <c r="B11" s="2" t="n"/>
      <c r="C11" s="6" t="n"/>
      <c r="D11" s="5" t="n"/>
      <c r="E11" s="6" t="n"/>
      <c r="F11" s="2" t="n"/>
    </row>
    <row r="12">
      <c r="A12" s="2">
        <f>IF(Identity!A12="","",Identity!A12)</f>
        <v/>
      </c>
      <c r="B12" s="2" t="n"/>
      <c r="C12" s="6" t="n"/>
      <c r="D12" s="5" t="n"/>
      <c r="E12" s="6" t="n"/>
      <c r="F12" s="2" t="n"/>
    </row>
    <row r="13">
      <c r="A13" s="2">
        <f>IF(Identity!A13="","",Identity!A13)</f>
        <v/>
      </c>
      <c r="B13" s="2" t="n"/>
      <c r="C13" s="6" t="n"/>
      <c r="D13" s="5" t="n"/>
      <c r="E13" s="6" t="n"/>
      <c r="F13" s="2" t="n"/>
    </row>
    <row r="14">
      <c r="A14" s="2">
        <f>IF(Identity!A14="","",Identity!A14)</f>
        <v/>
      </c>
      <c r="B14" s="2" t="n"/>
      <c r="C14" s="6" t="n"/>
      <c r="D14" s="5" t="n"/>
      <c r="E14" s="6" t="n"/>
      <c r="F14" s="2" t="n"/>
    </row>
    <row r="15">
      <c r="A15" s="2">
        <f>IF(Identity!A15="","",Identity!A15)</f>
        <v/>
      </c>
      <c r="B15" s="2" t="n"/>
      <c r="C15" s="6" t="n"/>
      <c r="D15" s="5" t="n"/>
      <c r="E15" s="6" t="n"/>
      <c r="F15" s="2" t="n"/>
    </row>
    <row r="16">
      <c r="A16" s="2">
        <f>IF(Identity!A16="","",Identity!A16)</f>
        <v/>
      </c>
      <c r="B16" s="2" t="n"/>
      <c r="C16" s="6" t="n"/>
      <c r="D16" s="5" t="n"/>
      <c r="E16" s="6" t="n"/>
      <c r="F16" s="2" t="n"/>
    </row>
    <row r="17">
      <c r="A17" s="2">
        <f>IF(Identity!A17="","",Identity!A17)</f>
        <v/>
      </c>
      <c r="B17" s="2" t="n"/>
      <c r="C17" s="6" t="n"/>
      <c r="D17" s="5" t="n"/>
      <c r="E17" s="6" t="n"/>
      <c r="F17" s="2" t="n"/>
    </row>
    <row r="18">
      <c r="A18" s="2">
        <f>IF(Identity!A18="","",Identity!A18)</f>
        <v/>
      </c>
      <c r="B18" s="2" t="n"/>
      <c r="C18" s="6" t="n"/>
      <c r="D18" s="5" t="n"/>
      <c r="E18" s="6" t="n"/>
      <c r="F18" s="2" t="n"/>
    </row>
    <row r="19">
      <c r="A19" s="2">
        <f>IF(Identity!A19="","",Identity!A19)</f>
        <v/>
      </c>
      <c r="B19" s="2" t="n"/>
      <c r="C19" s="6" t="n"/>
      <c r="D19" s="5" t="n"/>
      <c r="E19" s="6" t="n"/>
      <c r="F19" s="2" t="n"/>
    </row>
    <row r="20">
      <c r="A20" s="2">
        <f>IF(Identity!A20="","",Identity!A20)</f>
        <v/>
      </c>
      <c r="B20" s="2" t="n"/>
      <c r="C20" s="6" t="n"/>
      <c r="D20" s="5" t="n"/>
      <c r="E20" s="6" t="n"/>
      <c r="F20" s="2" t="n"/>
    </row>
    <row r="21">
      <c r="A21" s="2">
        <f>IF(Identity!A21="","",Identity!A21)</f>
        <v/>
      </c>
      <c r="B21" s="2" t="n"/>
      <c r="C21" s="6" t="n"/>
      <c r="D21" s="5" t="n"/>
      <c r="E21" s="6" t="n"/>
      <c r="F21" s="2" t="n"/>
    </row>
    <row r="22">
      <c r="A22" s="2">
        <f>IF(Identity!A22="","",Identity!A22)</f>
        <v/>
      </c>
      <c r="B22" s="2" t="n"/>
      <c r="C22" s="6" t="n"/>
      <c r="D22" s="5" t="n"/>
      <c r="E22" s="6" t="n"/>
      <c r="F22" s="2" t="n"/>
    </row>
    <row r="23">
      <c r="A23" s="2">
        <f>IF(Identity!A23="","",Identity!A23)</f>
        <v/>
      </c>
      <c r="B23" s="2" t="n"/>
      <c r="C23" s="6" t="n"/>
      <c r="D23" s="5" t="n"/>
      <c r="E23" s="6" t="n"/>
      <c r="F23" s="2" t="n"/>
    </row>
    <row r="24">
      <c r="A24" s="2">
        <f>IF(Identity!A24="","",Identity!A24)</f>
        <v/>
      </c>
      <c r="B24" s="2" t="n"/>
      <c r="C24" s="6" t="n"/>
      <c r="D24" s="5" t="n"/>
      <c r="E24" s="6" t="n"/>
      <c r="F24" s="2" t="n"/>
    </row>
    <row r="25">
      <c r="A25" s="2">
        <f>IF(Identity!A25="","",Identity!A25)</f>
        <v/>
      </c>
      <c r="B25" s="2" t="n"/>
      <c r="C25" s="6" t="n"/>
      <c r="D25" s="5" t="n"/>
      <c r="E25" s="6" t="n"/>
      <c r="F25" s="2" t="n"/>
    </row>
    <row r="26">
      <c r="A26" s="2">
        <f>IF(Identity!A26="","",Identity!A26)</f>
        <v/>
      </c>
      <c r="B26" s="2" t="n"/>
      <c r="C26" s="6" t="n"/>
      <c r="D26" s="5" t="n"/>
      <c r="E26" s="6" t="n"/>
      <c r="F26" s="2" t="n"/>
    </row>
    <row r="27">
      <c r="A27" s="2">
        <f>IF(Identity!A27="","",Identity!A27)</f>
        <v/>
      </c>
      <c r="B27" s="2" t="n"/>
      <c r="C27" s="6" t="n"/>
      <c r="D27" s="5" t="n"/>
      <c r="E27" s="6" t="n"/>
      <c r="F27" s="2" t="n"/>
    </row>
    <row r="28">
      <c r="A28" s="2">
        <f>IF(Identity!A28="","",Identity!A28)</f>
        <v/>
      </c>
      <c r="B28" s="2" t="n"/>
      <c r="C28" s="6" t="n"/>
      <c r="D28" s="5" t="n"/>
      <c r="E28" s="6" t="n"/>
      <c r="F28" s="2" t="n"/>
    </row>
    <row r="29">
      <c r="A29" s="2">
        <f>IF(Identity!A29="","",Identity!A29)</f>
        <v/>
      </c>
      <c r="B29" s="2" t="n"/>
      <c r="C29" s="6" t="n"/>
      <c r="D29" s="5" t="n"/>
      <c r="E29" s="6" t="n"/>
      <c r="F29" s="2" t="n"/>
    </row>
    <row r="30">
      <c r="A30" s="2">
        <f>IF(Identity!A30="","",Identity!A30)</f>
        <v/>
      </c>
      <c r="B30" s="2" t="n"/>
      <c r="C30" s="6" t="n"/>
      <c r="D30" s="5" t="n"/>
      <c r="E30" s="6" t="n"/>
      <c r="F30" s="2" t="n"/>
    </row>
    <row r="31">
      <c r="A31" s="2">
        <f>IF(Identity!A31="","",Identity!A31)</f>
        <v/>
      </c>
      <c r="B31" s="2" t="n"/>
      <c r="C31" s="6" t="n"/>
      <c r="D31" s="5" t="n"/>
      <c r="E31" s="6" t="n"/>
      <c r="F31" s="2" t="n"/>
    </row>
    <row r="32">
      <c r="A32" s="2">
        <f>IF(Identity!A32="","",Identity!A32)</f>
        <v/>
      </c>
      <c r="B32" s="2" t="n"/>
      <c r="C32" s="6" t="n"/>
      <c r="D32" s="5" t="n"/>
      <c r="E32" s="6" t="n"/>
      <c r="F32" s="2" t="n"/>
    </row>
    <row r="33">
      <c r="A33" s="2">
        <f>IF(Identity!A33="","",Identity!A33)</f>
        <v/>
      </c>
      <c r="B33" s="2" t="n"/>
      <c r="C33" s="6" t="n"/>
      <c r="D33" s="5" t="n"/>
      <c r="E33" s="6" t="n"/>
      <c r="F33" s="2" t="n"/>
    </row>
    <row r="34">
      <c r="A34" s="2">
        <f>IF(Identity!A34="","",Identity!A34)</f>
        <v/>
      </c>
      <c r="B34" s="2" t="n"/>
      <c r="C34" s="6" t="n"/>
      <c r="D34" s="5" t="n"/>
      <c r="E34" s="6" t="n"/>
      <c r="F34" s="2" t="n"/>
    </row>
    <row r="35">
      <c r="A35" s="2">
        <f>IF(Identity!A35="","",Identity!A35)</f>
        <v/>
      </c>
      <c r="B35" s="2" t="n"/>
      <c r="C35" s="6" t="n"/>
      <c r="D35" s="5" t="n"/>
      <c r="E35" s="6" t="n"/>
      <c r="F35" s="2" t="n"/>
    </row>
    <row r="36">
      <c r="A36" s="2">
        <f>IF(Identity!A36="","",Identity!A36)</f>
        <v/>
      </c>
      <c r="B36" s="2" t="n"/>
      <c r="C36" s="6" t="n"/>
      <c r="D36" s="5" t="n"/>
      <c r="E36" s="6" t="n"/>
      <c r="F36" s="2" t="n"/>
    </row>
    <row r="37">
      <c r="A37" s="2">
        <f>IF(Identity!A37="","",Identity!A37)</f>
        <v/>
      </c>
      <c r="B37" s="2" t="n"/>
      <c r="C37" s="6" t="n"/>
      <c r="D37" s="5" t="n"/>
      <c r="E37" s="6" t="n"/>
      <c r="F37" s="2" t="n"/>
    </row>
    <row r="38">
      <c r="A38" s="2">
        <f>IF(Identity!A38="","",Identity!A38)</f>
        <v/>
      </c>
      <c r="B38" s="2" t="n"/>
      <c r="C38" s="6" t="n"/>
      <c r="D38" s="5" t="n"/>
      <c r="E38" s="6" t="n"/>
      <c r="F38" s="2" t="n"/>
    </row>
    <row r="39">
      <c r="A39" s="2">
        <f>IF(Identity!A39="","",Identity!A39)</f>
        <v/>
      </c>
      <c r="B39" s="2" t="n"/>
      <c r="C39" s="6" t="n"/>
      <c r="D39" s="5" t="n"/>
      <c r="E39" s="6" t="n"/>
      <c r="F39" s="2" t="n"/>
    </row>
    <row r="40">
      <c r="A40" s="2">
        <f>IF(Identity!A40="","",Identity!A40)</f>
        <v/>
      </c>
      <c r="B40" s="2" t="n"/>
      <c r="C40" s="6" t="n"/>
      <c r="D40" s="5" t="n"/>
      <c r="E40" s="6" t="n"/>
      <c r="F40" s="2" t="n"/>
    </row>
    <row r="41">
      <c r="A41" s="2">
        <f>IF(Identity!A41="","",Identity!A41)</f>
        <v/>
      </c>
      <c r="B41" s="2" t="n"/>
      <c r="C41" s="6" t="n"/>
      <c r="D41" s="5" t="n"/>
      <c r="E41" s="6" t="n"/>
      <c r="F41" s="2" t="n"/>
    </row>
    <row r="42">
      <c r="A42" s="2">
        <f>IF(Identity!A42="","",Identity!A42)</f>
        <v/>
      </c>
      <c r="B42" s="2" t="n"/>
      <c r="C42" s="6" t="n"/>
      <c r="D42" s="5" t="n"/>
      <c r="E42" s="6" t="n"/>
      <c r="F42" s="2" t="n"/>
    </row>
    <row r="43">
      <c r="A43" s="2">
        <f>IF(Identity!A43="","",Identity!A43)</f>
        <v/>
      </c>
      <c r="B43" s="2" t="n"/>
      <c r="C43" s="6" t="n"/>
      <c r="D43" s="5" t="n"/>
      <c r="E43" s="6" t="n"/>
      <c r="F43" s="2" t="n"/>
    </row>
    <row r="44">
      <c r="A44" s="2">
        <f>IF(Identity!A44="","",Identity!A44)</f>
        <v/>
      </c>
      <c r="B44" s="2" t="n"/>
      <c r="C44" s="6" t="n"/>
      <c r="D44" s="5" t="n"/>
      <c r="E44" s="6" t="n"/>
      <c r="F44" s="2" t="n"/>
    </row>
    <row r="45">
      <c r="A45" s="2">
        <f>IF(Identity!A45="","",Identity!A45)</f>
        <v/>
      </c>
      <c r="B45" s="2" t="n"/>
      <c r="C45" s="6" t="n"/>
      <c r="D45" s="5" t="n"/>
      <c r="E45" s="6" t="n"/>
      <c r="F45" s="2" t="n"/>
    </row>
    <row r="46">
      <c r="A46" s="2">
        <f>IF(Identity!A46="","",Identity!A46)</f>
        <v/>
      </c>
      <c r="B46" s="2" t="n"/>
      <c r="C46" s="6" t="n"/>
      <c r="D46" s="5" t="n"/>
      <c r="E46" s="6" t="n"/>
      <c r="F46" s="2" t="n"/>
    </row>
    <row r="47">
      <c r="A47" s="2">
        <f>IF(Identity!A47="","",Identity!A47)</f>
        <v/>
      </c>
      <c r="B47" s="2" t="n"/>
      <c r="C47" s="6" t="n"/>
      <c r="D47" s="5" t="n"/>
      <c r="E47" s="6" t="n"/>
      <c r="F47" s="2" t="n"/>
    </row>
    <row r="48">
      <c r="A48" s="2">
        <f>IF(Identity!A48="","",Identity!A48)</f>
        <v/>
      </c>
      <c r="B48" s="2" t="n"/>
      <c r="C48" s="6" t="n"/>
      <c r="D48" s="5" t="n"/>
      <c r="E48" s="6" t="n"/>
      <c r="F48" s="2" t="n"/>
    </row>
    <row r="49">
      <c r="A49" s="2">
        <f>IF(Identity!A49="","",Identity!A49)</f>
        <v/>
      </c>
      <c r="B49" s="2" t="n"/>
      <c r="C49" s="6" t="n"/>
      <c r="D49" s="5" t="n"/>
      <c r="E49" s="6" t="n"/>
      <c r="F49" s="2" t="n"/>
    </row>
    <row r="50">
      <c r="A50" s="2">
        <f>IF(Identity!A50="","",Identity!A50)</f>
        <v/>
      </c>
      <c r="B50" s="2" t="n"/>
      <c r="C50" s="6" t="n"/>
      <c r="D50" s="5" t="n"/>
      <c r="E50" s="6" t="n"/>
      <c r="F50" s="2" t="n"/>
    </row>
    <row r="51">
      <c r="A51" s="2">
        <f>IF(Identity!A51="","",Identity!A51)</f>
        <v/>
      </c>
      <c r="B51" s="2" t="n"/>
      <c r="C51" s="6" t="n"/>
      <c r="D51" s="5" t="n"/>
      <c r="E51" s="6" t="n"/>
      <c r="F5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4" customWidth="1" min="9" max="9"/>
  </cols>
  <sheetData>
    <row r="1">
      <c r="A1" s="7" t="inlineStr">
        <is>
          <t>Overall Health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Total videos logged</t>
        </is>
      </c>
      <c r="B2" s="2">
        <f>COUNTA(Identity!C2:C51)</f>
        <v/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Total 7-day views</t>
        </is>
      </c>
      <c r="B3" s="6">
        <f>SUM(Performance!H2:H51)</f>
        <v/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Total 30-day views</t>
        </is>
      </c>
      <c r="B4" s="6">
        <f>SUM(Performance!I2:I51)</f>
        <v/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Avg 24hr CTR%</t>
        </is>
      </c>
      <c r="B5" s="5">
        <f>IFERROR(AVERAGE(Performance!B2:B51),0)</f>
        <v/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Avg 7-day CTR%</t>
        </is>
      </c>
      <c r="B6" s="5">
        <f>IFERROR(AVERAGE(Performance!C2:C51),0)</f>
        <v/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Avg 30-day CTR%</t>
        </is>
      </c>
      <c r="B7" s="5">
        <f>IFERROR(AVERAGE(Performance!D2:D51),0)</f>
        <v/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Avg drop-off rate%</t>
        </is>
      </c>
      <c r="B8" s="5">
        <f>IFERROR(AVERAGE(Performance!E2:E51),0)</f>
        <v/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Total calls booked</t>
        </is>
      </c>
      <c r="B9" s="2">
        <f>SUM(Conversion!E2:E51)</f>
        <v/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Best video (7-day CTR)</t>
        </is>
      </c>
      <c r="B10" s="2">
        <f>IFERROR(INDEX(Identity!C2:C51,MATCH(MAX(Performance!C2:C51),Performance!C2:C51,0)),"")</f>
        <v/>
      </c>
      <c r="C10" s="2" t="inlineStr">
        <is>
          <t>7-day CTR</t>
        </is>
      </c>
      <c r="D10" s="5">
        <f>IFERROR(MAX(Performance!C2:C51),0)</f>
        <v/>
      </c>
      <c r="E10" s="2" t="n"/>
      <c r="F10" s="2" t="n"/>
      <c r="G10" s="2" t="n"/>
      <c r="H10" s="2" t="n"/>
      <c r="I10" s="2" t="n"/>
    </row>
    <row r="11">
      <c r="A11" s="2" t="inlineStr">
        <is>
          <t>Worst video (7-day CTR)</t>
        </is>
      </c>
      <c r="B11" s="2">
        <f>IFERROR(INDEX(Identity!C2:C51,MATCH(MIN(Performance!C2:C51),Performance!C2:C51,0)),"")</f>
        <v/>
      </c>
      <c r="C11" s="2" t="inlineStr">
        <is>
          <t>7-day CTR</t>
        </is>
      </c>
      <c r="D11" s="5">
        <f>IFERROR(MIN(Performance!C2:C51),0)</f>
        <v/>
      </c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7" t="inlineStr">
        <is>
          <t>Pattern Recognition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7" t="inlineStr">
        <is>
          <t>Avg 7-day CTR by Title Style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Curiosity</t>
        </is>
      </c>
      <c r="B16" s="5">
        <f>IFERROR(AVERAGEIFS(Performance!C2:C51,Creative!F2:F51,"Curiosity"),0)</f>
        <v/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List</t>
        </is>
      </c>
      <c r="B17" s="5">
        <f>IFERROR(AVERAGEIFS(Performance!C2:C51,Creative!F2:F51,"List"),0)</f>
        <v/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How-To</t>
        </is>
      </c>
      <c r="B18" s="5">
        <f>IFERROR(AVERAGEIFS(Performance!C2:C51,Creative!F2:F51,"How-To"),0)</f>
        <v/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Question</t>
        </is>
      </c>
      <c r="B19" s="5">
        <f>IFERROR(AVERAGEIFS(Performance!C2:C51,Creative!F2:F51,"Question"),0)</f>
        <v/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Shock</t>
        </is>
      </c>
      <c r="B20" s="5">
        <f>IFERROR(AVERAGEIFS(Performance!C2:C51,Creative!F2:F51,"Shock"),0)</f>
        <v/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7" t="inlineStr">
        <is>
          <t>Avg 7-day CTR by Hook Style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Question</t>
        </is>
      </c>
      <c r="B23" s="5">
        <f>IFERROR(AVERAGEIFS(Performance!C2:C51,Creative!O2:O51,"Question"),0)</f>
        <v/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Stat</t>
        </is>
      </c>
      <c r="B24" s="5">
        <f>IFERROR(AVERAGEIFS(Performance!C2:C51,Creative!O2:O51,"Stat"),0)</f>
        <v/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Story</t>
        </is>
      </c>
      <c r="B25" s="5">
        <f>IFERROR(AVERAGEIFS(Performance!C2:C51,Creative!O2:O51,"Story"),0)</f>
        <v/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Bold Claim</t>
        </is>
      </c>
      <c r="B26" s="5">
        <f>IFERROR(AVERAGEIFS(Performance!C2:C51,Creative!O2:O51,"Bold Claim"),0)</f>
        <v/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Pattern Interrupt</t>
        </is>
      </c>
      <c r="B27" s="5">
        <f>IFERROR(AVERAGEIFS(Performance!C2:C51,Creative!O2:O51,"Pattern Interrupt"),0)</f>
        <v/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7" t="inlineStr">
        <is>
          <t>Avg 7-day CTR by Face on Thumbnail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Face = Y</t>
        </is>
      </c>
      <c r="B30" s="5">
        <f>IFERROR(AVERAGEIFS(Performance!C2:C51,Creative!H2:H51,"Y"),0)</f>
        <v/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Face = N</t>
        </is>
      </c>
      <c r="B31" s="5">
        <f>IFERROR(AVERAGEIFS(Performance!C2:C51,Creative!H2:H51,"N"),0)</f>
        <v/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7" t="inlineStr">
        <is>
          <t>Avg 7-day CTR by Word Count Bucket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1-3 words</t>
        </is>
      </c>
      <c r="B34" s="5">
        <f>IFERROR(AVERAGEIFS(Performance!C2:C51,Creative!J2:J51,"&gt;=1",Creative!J2:J51,"&lt;=3"),0)</f>
        <v/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4-6 words</t>
        </is>
      </c>
      <c r="B35" s="5">
        <f>IFERROR(AVERAGEIFS(Performance!C2:C51,Creative!J2:J51,"&gt;=4",Creative!J2:J51,"&lt;=6"),0)</f>
        <v/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7-9 words</t>
        </is>
      </c>
      <c r="B36" s="5">
        <f>IFERROR(AVERAGEIFS(Performance!C2:C51,Creative!J2:J51,"&gt;=7",Creative!J2:J51,"&lt;=9"),0)</f>
        <v/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10+ words</t>
        </is>
      </c>
      <c r="B37" s="5">
        <f>IFERROR(AVERAGEIFS(Performance!C2:C51,Creative!J2:J51,"&gt;=10",Creative!J2:J51,"&lt;=999"),0)</f>
        <v/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Correlation: Intro Length vs Drop-off</t>
        </is>
      </c>
      <c r="B39" s="8">
        <f>IFERROR(CORREL(Creative!P2:P51,Performance!E2:E51),"n/a")</f>
        <v/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7" t="inlineStr">
        <is>
          <t>Top 5 by 7-day CTR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7" t="inlineStr">
        <is>
          <t>Rank</t>
        </is>
      </c>
      <c r="B43" s="7" t="inlineStr">
        <is>
          <t>Video ID</t>
        </is>
      </c>
      <c r="C43" s="7" t="inlineStr">
        <is>
          <t>Final Title</t>
        </is>
      </c>
      <c r="D43" s="7" t="inlineStr">
        <is>
          <t>7-day CTR</t>
        </is>
      </c>
      <c r="E43" s="7" t="inlineStr">
        <is>
          <t>7-day Views</t>
        </is>
      </c>
      <c r="F43" s="7" t="inlineStr">
        <is>
          <t>Drop-off Rate</t>
        </is>
      </c>
      <c r="G43" s="7" t="inlineStr">
        <is>
          <t>Winning Style</t>
        </is>
      </c>
      <c r="H43" s="7" t="inlineStr">
        <is>
          <t>Hook Style</t>
        </is>
      </c>
      <c r="I43" s="7" t="inlineStr">
        <is>
          <t>Calls Booked</t>
        </is>
      </c>
    </row>
    <row r="44">
      <c r="A44" s="2" t="n">
        <v>1</v>
      </c>
      <c r="B44" s="2">
        <f>IFERROR(INDEX(Identity!A2:A51,MATCH(LARGE(Performance!C2:C51,1),Performance!C2:C51,0)),"")</f>
        <v/>
      </c>
      <c r="C44" s="2">
        <f>IFERROR(INDEX(Identity!C2:C51,MATCH(LARGE(Performance!C2:C51,1),Performance!C2:C51,0)),"")</f>
        <v/>
      </c>
      <c r="D44" s="5">
        <f>IFERROR(LARGE(Performance!C2:C51,1),"")</f>
        <v/>
      </c>
      <c r="E44" s="6">
        <f>IFERROR(INDEX(Performance!H2:H51,MATCH(LARGE(Performance!C2:C51,1),Performance!C2:C51,0)),"")</f>
        <v/>
      </c>
      <c r="F44" s="5">
        <f>IFERROR(INDEX(Performance!E2:E51,MATCH(LARGE(Performance!C2:C51,1),Performance!C2:C51,0)),"")</f>
        <v/>
      </c>
      <c r="G44" s="2">
        <f>IFERROR(INDEX(Creative!F2:F51,MATCH(LARGE(Performance!C2:C51,1),Performance!C2:C51,0)),"")</f>
        <v/>
      </c>
      <c r="H44" s="2">
        <f>IFERROR(INDEX(Creative!O2:O51,MATCH(LARGE(Performance!C2:C51,1),Performance!C2:C51,0)),"")</f>
        <v/>
      </c>
      <c r="I44" s="2">
        <f>IFERROR(INDEX(Conversion!E2:E51,MATCH(LARGE(Performance!C2:C51,1),Performance!C2:C51,0)),"")</f>
        <v/>
      </c>
    </row>
    <row r="45">
      <c r="A45" s="2" t="n">
        <v>2</v>
      </c>
      <c r="B45" s="2">
        <f>IFERROR(INDEX(Identity!A2:A51,MATCH(LARGE(Performance!C2:C51,2),Performance!C2:C51,0)),"")</f>
        <v/>
      </c>
      <c r="C45" s="2">
        <f>IFERROR(INDEX(Identity!C2:C51,MATCH(LARGE(Performance!C2:C51,2),Performance!C2:C51,0)),"")</f>
        <v/>
      </c>
      <c r="D45" s="5">
        <f>IFERROR(LARGE(Performance!C2:C51,2),"")</f>
        <v/>
      </c>
      <c r="E45" s="6">
        <f>IFERROR(INDEX(Performance!H2:H51,MATCH(LARGE(Performance!C2:C51,2),Performance!C2:C51,0)),"")</f>
        <v/>
      </c>
      <c r="F45" s="5">
        <f>IFERROR(INDEX(Performance!E2:E51,MATCH(LARGE(Performance!C2:C51,2),Performance!C2:C51,0)),"")</f>
        <v/>
      </c>
      <c r="G45" s="2">
        <f>IFERROR(INDEX(Creative!F2:F51,MATCH(LARGE(Performance!C2:C51,2),Performance!C2:C51,0)),"")</f>
        <v/>
      </c>
      <c r="H45" s="2">
        <f>IFERROR(INDEX(Creative!O2:O51,MATCH(LARGE(Performance!C2:C51,2),Performance!C2:C51,0)),"")</f>
        <v/>
      </c>
      <c r="I45" s="2">
        <f>IFERROR(INDEX(Conversion!E2:E51,MATCH(LARGE(Performance!C2:C51,2),Performance!C2:C51,0)),"")</f>
        <v/>
      </c>
    </row>
    <row r="46">
      <c r="A46" s="2" t="n">
        <v>3</v>
      </c>
      <c r="B46" s="2">
        <f>IFERROR(INDEX(Identity!A2:A51,MATCH(LARGE(Performance!C2:C51,3),Performance!C2:C51,0)),"")</f>
        <v/>
      </c>
      <c r="C46" s="2">
        <f>IFERROR(INDEX(Identity!C2:C51,MATCH(LARGE(Performance!C2:C51,3),Performance!C2:C51,0)),"")</f>
        <v/>
      </c>
      <c r="D46" s="5">
        <f>IFERROR(LARGE(Performance!C2:C51,3),"")</f>
        <v/>
      </c>
      <c r="E46" s="6">
        <f>IFERROR(INDEX(Performance!H2:H51,MATCH(LARGE(Performance!C2:C51,3),Performance!C2:C51,0)),"")</f>
        <v/>
      </c>
      <c r="F46" s="5">
        <f>IFERROR(INDEX(Performance!E2:E51,MATCH(LARGE(Performance!C2:C51,3),Performance!C2:C51,0)),"")</f>
        <v/>
      </c>
      <c r="G46" s="2">
        <f>IFERROR(INDEX(Creative!F2:F51,MATCH(LARGE(Performance!C2:C51,3),Performance!C2:C51,0)),"")</f>
        <v/>
      </c>
      <c r="H46" s="2">
        <f>IFERROR(INDEX(Creative!O2:O51,MATCH(LARGE(Performance!C2:C51,3),Performance!C2:C51,0)),"")</f>
        <v/>
      </c>
      <c r="I46" s="2">
        <f>IFERROR(INDEX(Conversion!E2:E51,MATCH(LARGE(Performance!C2:C51,3),Performance!C2:C51,0)),"")</f>
        <v/>
      </c>
    </row>
    <row r="47">
      <c r="A47" s="2" t="n">
        <v>4</v>
      </c>
      <c r="B47" s="2">
        <f>IFERROR(INDEX(Identity!A2:A51,MATCH(LARGE(Performance!C2:C51,4),Performance!C2:C51,0)),"")</f>
        <v/>
      </c>
      <c r="C47" s="2">
        <f>IFERROR(INDEX(Identity!C2:C51,MATCH(LARGE(Performance!C2:C51,4),Performance!C2:C51,0)),"")</f>
        <v/>
      </c>
      <c r="D47" s="5">
        <f>IFERROR(LARGE(Performance!C2:C51,4),"")</f>
        <v/>
      </c>
      <c r="E47" s="6">
        <f>IFERROR(INDEX(Performance!H2:H51,MATCH(LARGE(Performance!C2:C51,4),Performance!C2:C51,0)),"")</f>
        <v/>
      </c>
      <c r="F47" s="5">
        <f>IFERROR(INDEX(Performance!E2:E51,MATCH(LARGE(Performance!C2:C51,4),Performance!C2:C51,0)),"")</f>
        <v/>
      </c>
      <c r="G47" s="2">
        <f>IFERROR(INDEX(Creative!F2:F51,MATCH(LARGE(Performance!C2:C51,4),Performance!C2:C51,0)),"")</f>
        <v/>
      </c>
      <c r="H47" s="2">
        <f>IFERROR(INDEX(Creative!O2:O51,MATCH(LARGE(Performance!C2:C51,4),Performance!C2:C51,0)),"")</f>
        <v/>
      </c>
      <c r="I47" s="2">
        <f>IFERROR(INDEX(Conversion!E2:E51,MATCH(LARGE(Performance!C2:C51,4),Performance!C2:C51,0)),"")</f>
        <v/>
      </c>
    </row>
    <row r="48">
      <c r="A48" s="2" t="n">
        <v>5</v>
      </c>
      <c r="B48" s="2">
        <f>IFERROR(INDEX(Identity!A2:A51,MATCH(LARGE(Performance!C2:C51,5),Performance!C2:C51,0)),"")</f>
        <v/>
      </c>
      <c r="C48" s="2">
        <f>IFERROR(INDEX(Identity!C2:C51,MATCH(LARGE(Performance!C2:C51,5),Performance!C2:C51,0)),"")</f>
        <v/>
      </c>
      <c r="D48" s="5">
        <f>IFERROR(LARGE(Performance!C2:C51,5),"")</f>
        <v/>
      </c>
      <c r="E48" s="6">
        <f>IFERROR(INDEX(Performance!H2:H51,MATCH(LARGE(Performance!C2:C51,5),Performance!C2:C51,0)),"")</f>
        <v/>
      </c>
      <c r="F48" s="5">
        <f>IFERROR(INDEX(Performance!E2:E51,MATCH(LARGE(Performance!C2:C51,5),Performance!C2:C51,0)),"")</f>
        <v/>
      </c>
      <c r="G48" s="2">
        <f>IFERROR(INDEX(Creative!F2:F51,MATCH(LARGE(Performance!C2:C51,5),Performance!C2:C51,0)),"")</f>
        <v/>
      </c>
      <c r="H48" s="2">
        <f>IFERROR(INDEX(Creative!O2:O51,MATCH(LARGE(Performance!C2:C51,5),Performance!C2:C51,0)),"")</f>
        <v/>
      </c>
      <c r="I48" s="2">
        <f>IFERROR(INDEX(Conversion!E2:E51,MATCH(LARGE(Performance!C2:C51,5),Performance!C2:C51,0)),"")</f>
        <v/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90" customHeight="1">
      <c r="A1" s="9" t="inlineStr">
        <is>
          <t>CONTEXT FOR AI: This sheet is a flat denormalized export of a YouTube content tracker. Each row (starting row 3) is one video, joined across four source sheets (Identity, Creative, Performance, Conversion) by Video ID. Columns in row 2 are headers. Identity captures publishing metadata. Creative captures title/thumbnail/hook design choices and A/B variants. Performance captures click-through and retention metrics at 24hr / 7-day / 30-day windows plus drop-off and average view duration. Conversion captures CTAs, click-throughs, engagement rate, calls booked, and free-form notes. CTR / drop-off / engagement values are stored as decimals (e.g., 0.05 = 5%). Use this view to identify which creative levers (title style, hook style, face on thumbnail, word count, intro length) correlate with higher CTR, lower drop-off, and more calls booked. Empty cells mean no data was logged.</t>
        </is>
      </c>
    </row>
    <row r="2">
      <c r="A2" s="7" t="inlineStr">
        <is>
          <t>Video ID</t>
        </is>
      </c>
      <c r="B2" s="7" t="inlineStr">
        <is>
          <t>Date Posted</t>
        </is>
      </c>
      <c r="C2" s="7" t="inlineStr">
        <is>
          <t>Final Title</t>
        </is>
      </c>
      <c r="D2" s="7" t="inlineStr">
        <is>
          <t>Video URL</t>
        </is>
      </c>
      <c r="E2" s="7" t="inlineStr">
        <is>
          <t>Length</t>
        </is>
      </c>
      <c r="F2" s="7" t="inlineStr">
        <is>
          <t>Topic</t>
        </is>
      </c>
      <c r="G2" s="7" t="inlineStr">
        <is>
          <t>A/B Title 1</t>
        </is>
      </c>
      <c r="H2" s="7" t="inlineStr">
        <is>
          <t>A/B Title 2</t>
        </is>
      </c>
      <c r="I2" s="7" t="inlineStr">
        <is>
          <t>A/B Title 3</t>
        </is>
      </c>
      <c r="J2" s="7" t="inlineStr">
        <is>
          <t>Winning Title #</t>
        </is>
      </c>
      <c r="K2" s="7" t="inlineStr">
        <is>
          <t>Winning Style</t>
        </is>
      </c>
      <c r="L2" s="7" t="inlineStr">
        <is>
          <t>Thumbnail URL</t>
        </is>
      </c>
      <c r="M2" s="7" t="inlineStr">
        <is>
          <t>Face Y/N</t>
        </is>
      </c>
      <c r="N2" s="7" t="inlineStr">
        <is>
          <t>Face Emotion</t>
        </is>
      </c>
      <c r="O2" s="7" t="inlineStr">
        <is>
          <t>Word Count</t>
        </is>
      </c>
      <c r="P2" s="7" t="inlineStr">
        <is>
          <t>Words Used</t>
        </is>
      </c>
      <c r="Q2" s="7" t="inlineStr">
        <is>
          <t>Background</t>
        </is>
      </c>
      <c r="R2" s="7" t="inlineStr">
        <is>
          <t>Color Palette</t>
        </is>
      </c>
      <c r="S2" s="7" t="inlineStr">
        <is>
          <t>Hook Script</t>
        </is>
      </c>
      <c r="T2" s="7" t="inlineStr">
        <is>
          <t>Hook Style</t>
        </is>
      </c>
      <c r="U2" s="7" t="inlineStr">
        <is>
          <t>Intro Length sec</t>
        </is>
      </c>
      <c r="V2" s="7" t="inlineStr">
        <is>
          <t>Time-to-Value sec</t>
        </is>
      </c>
      <c r="W2" s="7" t="inlineStr">
        <is>
          <t>24hr CTR%</t>
        </is>
      </c>
      <c r="X2" s="7" t="inlineStr">
        <is>
          <t>7-day CTR%</t>
        </is>
      </c>
      <c r="Y2" s="7" t="inlineStr">
        <is>
          <t>30-day CTR%</t>
        </is>
      </c>
      <c r="Z2" s="7" t="inlineStr">
        <is>
          <t>Drop-off Rate%</t>
        </is>
      </c>
      <c r="AA2" s="7" t="inlineStr">
        <is>
          <t>Drop-off Timestamp</t>
        </is>
      </c>
      <c r="AB2" s="7" t="inlineStr">
        <is>
          <t>AVD</t>
        </is>
      </c>
      <c r="AC2" s="7" t="inlineStr">
        <is>
          <t>7-day Views</t>
        </is>
      </c>
      <c r="AD2" s="7" t="inlineStr">
        <is>
          <t>30-day Views</t>
        </is>
      </c>
      <c r="AE2" s="7" t="inlineStr">
        <is>
          <t>CTAs Used</t>
        </is>
      </c>
      <c r="AF2" s="7" t="inlineStr">
        <is>
          <t>Click-throughs</t>
        </is>
      </c>
      <c r="AG2" s="7" t="inlineStr">
        <is>
          <t>Engagement Rate</t>
        </is>
      </c>
      <c r="AH2" s="7" t="inlineStr">
        <is>
          <t>Calls Booked</t>
        </is>
      </c>
      <c r="AI2" s="7" t="inlineStr">
        <is>
          <t>Notes</t>
        </is>
      </c>
    </row>
    <row r="3">
      <c r="A3" s="2">
        <f>IF(Identity!A2="","",Identity!A2)</f>
        <v/>
      </c>
      <c r="B3" s="2">
        <f>IF(Identity!B2="","",Identity!B2)</f>
        <v/>
      </c>
      <c r="C3" s="2">
        <f>IF(Identity!C2="","",Identity!C2)</f>
        <v/>
      </c>
      <c r="D3" s="2">
        <f>IF(Identity!D2="","",Identity!D2)</f>
        <v/>
      </c>
      <c r="E3" s="2">
        <f>IF(Identity!E2="","",Identity!E2)</f>
        <v/>
      </c>
      <c r="F3" s="2">
        <f>IF(Identity!F2="","",Identity!F2)</f>
        <v/>
      </c>
      <c r="G3" s="2">
        <f>IFERROR(INDEX(Creative!B:B,MATCH(Identity!A2,Creative!A:A,0)),"")</f>
        <v/>
      </c>
      <c r="H3" s="2">
        <f>IFERROR(INDEX(Creative!C:C,MATCH(Identity!A2,Creative!A:A,0)),"")</f>
        <v/>
      </c>
      <c r="I3" s="2">
        <f>IFERROR(INDEX(Creative!D:D,MATCH(Identity!A2,Creative!A:A,0)),"")</f>
        <v/>
      </c>
      <c r="J3" s="2">
        <f>IFERROR(INDEX(Creative!E:E,MATCH(Identity!A2,Creative!A:A,0)),"")</f>
        <v/>
      </c>
      <c r="K3" s="2">
        <f>IFERROR(INDEX(Creative!F:F,MATCH(Identity!A2,Creative!A:A,0)),"")</f>
        <v/>
      </c>
      <c r="L3" s="2">
        <f>IFERROR(INDEX(Creative!G:G,MATCH(Identity!A2,Creative!A:A,0)),"")</f>
        <v/>
      </c>
      <c r="M3" s="2">
        <f>IFERROR(INDEX(Creative!H:H,MATCH(Identity!A2,Creative!A:A,0)),"")</f>
        <v/>
      </c>
      <c r="N3" s="2">
        <f>IFERROR(INDEX(Creative!I:I,MATCH(Identity!A2,Creative!A:A,0)),"")</f>
        <v/>
      </c>
      <c r="O3" s="2">
        <f>IFERROR(INDEX(Creative!J:J,MATCH(Identity!A2,Creative!A:A,0)),"")</f>
        <v/>
      </c>
      <c r="P3" s="2">
        <f>IFERROR(INDEX(Creative!K:K,MATCH(Identity!A2,Creative!A:A,0)),"")</f>
        <v/>
      </c>
      <c r="Q3" s="2">
        <f>IFERROR(INDEX(Creative!L:L,MATCH(Identity!A2,Creative!A:A,0)),"")</f>
        <v/>
      </c>
      <c r="R3" s="2">
        <f>IFERROR(INDEX(Creative!M:M,MATCH(Identity!A2,Creative!A:A,0)),"")</f>
        <v/>
      </c>
      <c r="S3" s="2">
        <f>IFERROR(INDEX(Creative!N:N,MATCH(Identity!A2,Creative!A:A,0)),"")</f>
        <v/>
      </c>
      <c r="T3" s="2">
        <f>IFERROR(INDEX(Creative!O:O,MATCH(Identity!A2,Creative!A:A,0)),"")</f>
        <v/>
      </c>
      <c r="U3" s="2">
        <f>IFERROR(INDEX(Creative!P:P,MATCH(Identity!A2,Creative!A:A,0)),"")</f>
        <v/>
      </c>
      <c r="V3" s="2">
        <f>IFERROR(INDEX(Creative!Q:Q,MATCH(Identity!A2,Creative!A:A,0)),"")</f>
        <v/>
      </c>
      <c r="W3" s="2">
        <f>IFERROR(INDEX(Performance!B:B,MATCH(Identity!A2,Performance!A:A,0)),"")</f>
        <v/>
      </c>
      <c r="X3" s="2">
        <f>IFERROR(INDEX(Performance!C:C,MATCH(Identity!A2,Performance!A:A,0)),"")</f>
        <v/>
      </c>
      <c r="Y3" s="2">
        <f>IFERROR(INDEX(Performance!D:D,MATCH(Identity!A2,Performance!A:A,0)),"")</f>
        <v/>
      </c>
      <c r="Z3" s="2">
        <f>IFERROR(INDEX(Performance!E:E,MATCH(Identity!A2,Performance!A:A,0)),"")</f>
        <v/>
      </c>
      <c r="AA3" s="2">
        <f>IFERROR(INDEX(Performance!F:F,MATCH(Identity!A2,Performance!A:A,0)),"")</f>
        <v/>
      </c>
      <c r="AB3" s="2">
        <f>IFERROR(INDEX(Performance!G:G,MATCH(Identity!A2,Performance!A:A,0)),"")</f>
        <v/>
      </c>
      <c r="AC3" s="2">
        <f>IFERROR(INDEX(Performance!H:H,MATCH(Identity!A2,Performance!A:A,0)),"")</f>
        <v/>
      </c>
      <c r="AD3" s="2">
        <f>IFERROR(INDEX(Performance!I:I,MATCH(Identity!A2,Performance!A:A,0)),"")</f>
        <v/>
      </c>
      <c r="AE3" s="2">
        <f>IFERROR(INDEX(Conversion!B:B,MATCH(Identity!A2,Conversion!A:A,0)),"")</f>
        <v/>
      </c>
      <c r="AF3" s="2">
        <f>IFERROR(INDEX(Conversion!C:C,MATCH(Identity!A2,Conversion!A:A,0)),"")</f>
        <v/>
      </c>
      <c r="AG3" s="2">
        <f>IFERROR(INDEX(Conversion!D:D,MATCH(Identity!A2,Conversion!A:A,0)),"")</f>
        <v/>
      </c>
      <c r="AH3" s="2">
        <f>IFERROR(INDEX(Conversion!E:E,MATCH(Identity!A2,Conversion!A:A,0)),"")</f>
        <v/>
      </c>
      <c r="AI3" s="2">
        <f>IFERROR(INDEX(Conversion!F:F,MATCH(Identity!A2,Conversion!A:A,0)),"")</f>
        <v/>
      </c>
    </row>
    <row r="4">
      <c r="A4" s="2">
        <f>IF(Identity!A3="","",Identity!A3)</f>
        <v/>
      </c>
      <c r="B4" s="2">
        <f>IF(Identity!B3="","",Identity!B3)</f>
        <v/>
      </c>
      <c r="C4" s="2">
        <f>IF(Identity!C3="","",Identity!C3)</f>
        <v/>
      </c>
      <c r="D4" s="2">
        <f>IF(Identity!D3="","",Identity!D3)</f>
        <v/>
      </c>
      <c r="E4" s="2">
        <f>IF(Identity!E3="","",Identity!E3)</f>
        <v/>
      </c>
      <c r="F4" s="2">
        <f>IF(Identity!F3="","",Identity!F3)</f>
        <v/>
      </c>
      <c r="G4" s="2">
        <f>IFERROR(INDEX(Creative!B:B,MATCH(Identity!A3,Creative!A:A,0)),"")</f>
        <v/>
      </c>
      <c r="H4" s="2">
        <f>IFERROR(INDEX(Creative!C:C,MATCH(Identity!A3,Creative!A:A,0)),"")</f>
        <v/>
      </c>
      <c r="I4" s="2">
        <f>IFERROR(INDEX(Creative!D:D,MATCH(Identity!A3,Creative!A:A,0)),"")</f>
        <v/>
      </c>
      <c r="J4" s="2">
        <f>IFERROR(INDEX(Creative!E:E,MATCH(Identity!A3,Creative!A:A,0)),"")</f>
        <v/>
      </c>
      <c r="K4" s="2">
        <f>IFERROR(INDEX(Creative!F:F,MATCH(Identity!A3,Creative!A:A,0)),"")</f>
        <v/>
      </c>
      <c r="L4" s="2">
        <f>IFERROR(INDEX(Creative!G:G,MATCH(Identity!A3,Creative!A:A,0)),"")</f>
        <v/>
      </c>
      <c r="M4" s="2">
        <f>IFERROR(INDEX(Creative!H:H,MATCH(Identity!A3,Creative!A:A,0)),"")</f>
        <v/>
      </c>
      <c r="N4" s="2">
        <f>IFERROR(INDEX(Creative!I:I,MATCH(Identity!A3,Creative!A:A,0)),"")</f>
        <v/>
      </c>
      <c r="O4" s="2">
        <f>IFERROR(INDEX(Creative!J:J,MATCH(Identity!A3,Creative!A:A,0)),"")</f>
        <v/>
      </c>
      <c r="P4" s="2">
        <f>IFERROR(INDEX(Creative!K:K,MATCH(Identity!A3,Creative!A:A,0)),"")</f>
        <v/>
      </c>
      <c r="Q4" s="2">
        <f>IFERROR(INDEX(Creative!L:L,MATCH(Identity!A3,Creative!A:A,0)),"")</f>
        <v/>
      </c>
      <c r="R4" s="2">
        <f>IFERROR(INDEX(Creative!M:M,MATCH(Identity!A3,Creative!A:A,0)),"")</f>
        <v/>
      </c>
      <c r="S4" s="2">
        <f>IFERROR(INDEX(Creative!N:N,MATCH(Identity!A3,Creative!A:A,0)),"")</f>
        <v/>
      </c>
      <c r="T4" s="2">
        <f>IFERROR(INDEX(Creative!O:O,MATCH(Identity!A3,Creative!A:A,0)),"")</f>
        <v/>
      </c>
      <c r="U4" s="2">
        <f>IFERROR(INDEX(Creative!P:P,MATCH(Identity!A3,Creative!A:A,0)),"")</f>
        <v/>
      </c>
      <c r="V4" s="2">
        <f>IFERROR(INDEX(Creative!Q:Q,MATCH(Identity!A3,Creative!A:A,0)),"")</f>
        <v/>
      </c>
      <c r="W4" s="2">
        <f>IFERROR(INDEX(Performance!B:B,MATCH(Identity!A3,Performance!A:A,0)),"")</f>
        <v/>
      </c>
      <c r="X4" s="2">
        <f>IFERROR(INDEX(Performance!C:C,MATCH(Identity!A3,Performance!A:A,0)),"")</f>
        <v/>
      </c>
      <c r="Y4" s="2">
        <f>IFERROR(INDEX(Performance!D:D,MATCH(Identity!A3,Performance!A:A,0)),"")</f>
        <v/>
      </c>
      <c r="Z4" s="2">
        <f>IFERROR(INDEX(Performance!E:E,MATCH(Identity!A3,Performance!A:A,0)),"")</f>
        <v/>
      </c>
      <c r="AA4" s="2">
        <f>IFERROR(INDEX(Performance!F:F,MATCH(Identity!A3,Performance!A:A,0)),"")</f>
        <v/>
      </c>
      <c r="AB4" s="2">
        <f>IFERROR(INDEX(Performance!G:G,MATCH(Identity!A3,Performance!A:A,0)),"")</f>
        <v/>
      </c>
      <c r="AC4" s="2">
        <f>IFERROR(INDEX(Performance!H:H,MATCH(Identity!A3,Performance!A:A,0)),"")</f>
        <v/>
      </c>
      <c r="AD4" s="2">
        <f>IFERROR(INDEX(Performance!I:I,MATCH(Identity!A3,Performance!A:A,0)),"")</f>
        <v/>
      </c>
      <c r="AE4" s="2">
        <f>IFERROR(INDEX(Conversion!B:B,MATCH(Identity!A3,Conversion!A:A,0)),"")</f>
        <v/>
      </c>
      <c r="AF4" s="2">
        <f>IFERROR(INDEX(Conversion!C:C,MATCH(Identity!A3,Conversion!A:A,0)),"")</f>
        <v/>
      </c>
      <c r="AG4" s="2">
        <f>IFERROR(INDEX(Conversion!D:D,MATCH(Identity!A3,Conversion!A:A,0)),"")</f>
        <v/>
      </c>
      <c r="AH4" s="2">
        <f>IFERROR(INDEX(Conversion!E:E,MATCH(Identity!A3,Conversion!A:A,0)),"")</f>
        <v/>
      </c>
      <c r="AI4" s="2">
        <f>IFERROR(INDEX(Conversion!F:F,MATCH(Identity!A3,Conversion!A:A,0)),"")</f>
        <v/>
      </c>
    </row>
    <row r="5">
      <c r="A5" s="2">
        <f>IF(Identity!A4="","",Identity!A4)</f>
        <v/>
      </c>
      <c r="B5" s="2">
        <f>IF(Identity!B4="","",Identity!B4)</f>
        <v/>
      </c>
      <c r="C5" s="2">
        <f>IF(Identity!C4="","",Identity!C4)</f>
        <v/>
      </c>
      <c r="D5" s="2">
        <f>IF(Identity!D4="","",Identity!D4)</f>
        <v/>
      </c>
      <c r="E5" s="2">
        <f>IF(Identity!E4="","",Identity!E4)</f>
        <v/>
      </c>
      <c r="F5" s="2">
        <f>IF(Identity!F4="","",Identity!F4)</f>
        <v/>
      </c>
      <c r="G5" s="2">
        <f>IFERROR(INDEX(Creative!B:B,MATCH(Identity!A4,Creative!A:A,0)),"")</f>
        <v/>
      </c>
      <c r="H5" s="2">
        <f>IFERROR(INDEX(Creative!C:C,MATCH(Identity!A4,Creative!A:A,0)),"")</f>
        <v/>
      </c>
      <c r="I5" s="2">
        <f>IFERROR(INDEX(Creative!D:D,MATCH(Identity!A4,Creative!A:A,0)),"")</f>
        <v/>
      </c>
      <c r="J5" s="2">
        <f>IFERROR(INDEX(Creative!E:E,MATCH(Identity!A4,Creative!A:A,0)),"")</f>
        <v/>
      </c>
      <c r="K5" s="2">
        <f>IFERROR(INDEX(Creative!F:F,MATCH(Identity!A4,Creative!A:A,0)),"")</f>
        <v/>
      </c>
      <c r="L5" s="2">
        <f>IFERROR(INDEX(Creative!G:G,MATCH(Identity!A4,Creative!A:A,0)),"")</f>
        <v/>
      </c>
      <c r="M5" s="2">
        <f>IFERROR(INDEX(Creative!H:H,MATCH(Identity!A4,Creative!A:A,0)),"")</f>
        <v/>
      </c>
      <c r="N5" s="2">
        <f>IFERROR(INDEX(Creative!I:I,MATCH(Identity!A4,Creative!A:A,0)),"")</f>
        <v/>
      </c>
      <c r="O5" s="2">
        <f>IFERROR(INDEX(Creative!J:J,MATCH(Identity!A4,Creative!A:A,0)),"")</f>
        <v/>
      </c>
      <c r="P5" s="2">
        <f>IFERROR(INDEX(Creative!K:K,MATCH(Identity!A4,Creative!A:A,0)),"")</f>
        <v/>
      </c>
      <c r="Q5" s="2">
        <f>IFERROR(INDEX(Creative!L:L,MATCH(Identity!A4,Creative!A:A,0)),"")</f>
        <v/>
      </c>
      <c r="R5" s="2">
        <f>IFERROR(INDEX(Creative!M:M,MATCH(Identity!A4,Creative!A:A,0)),"")</f>
        <v/>
      </c>
      <c r="S5" s="2">
        <f>IFERROR(INDEX(Creative!N:N,MATCH(Identity!A4,Creative!A:A,0)),"")</f>
        <v/>
      </c>
      <c r="T5" s="2">
        <f>IFERROR(INDEX(Creative!O:O,MATCH(Identity!A4,Creative!A:A,0)),"")</f>
        <v/>
      </c>
      <c r="U5" s="2">
        <f>IFERROR(INDEX(Creative!P:P,MATCH(Identity!A4,Creative!A:A,0)),"")</f>
        <v/>
      </c>
      <c r="V5" s="2">
        <f>IFERROR(INDEX(Creative!Q:Q,MATCH(Identity!A4,Creative!A:A,0)),"")</f>
        <v/>
      </c>
      <c r="W5" s="2">
        <f>IFERROR(INDEX(Performance!B:B,MATCH(Identity!A4,Performance!A:A,0)),"")</f>
        <v/>
      </c>
      <c r="X5" s="2">
        <f>IFERROR(INDEX(Performance!C:C,MATCH(Identity!A4,Performance!A:A,0)),"")</f>
        <v/>
      </c>
      <c r="Y5" s="2">
        <f>IFERROR(INDEX(Performance!D:D,MATCH(Identity!A4,Performance!A:A,0)),"")</f>
        <v/>
      </c>
      <c r="Z5" s="2">
        <f>IFERROR(INDEX(Performance!E:E,MATCH(Identity!A4,Performance!A:A,0)),"")</f>
        <v/>
      </c>
      <c r="AA5" s="2">
        <f>IFERROR(INDEX(Performance!F:F,MATCH(Identity!A4,Performance!A:A,0)),"")</f>
        <v/>
      </c>
      <c r="AB5" s="2">
        <f>IFERROR(INDEX(Performance!G:G,MATCH(Identity!A4,Performance!A:A,0)),"")</f>
        <v/>
      </c>
      <c r="AC5" s="2">
        <f>IFERROR(INDEX(Performance!H:H,MATCH(Identity!A4,Performance!A:A,0)),"")</f>
        <v/>
      </c>
      <c r="AD5" s="2">
        <f>IFERROR(INDEX(Performance!I:I,MATCH(Identity!A4,Performance!A:A,0)),"")</f>
        <v/>
      </c>
      <c r="AE5" s="2">
        <f>IFERROR(INDEX(Conversion!B:B,MATCH(Identity!A4,Conversion!A:A,0)),"")</f>
        <v/>
      </c>
      <c r="AF5" s="2">
        <f>IFERROR(INDEX(Conversion!C:C,MATCH(Identity!A4,Conversion!A:A,0)),"")</f>
        <v/>
      </c>
      <c r="AG5" s="2">
        <f>IFERROR(INDEX(Conversion!D:D,MATCH(Identity!A4,Conversion!A:A,0)),"")</f>
        <v/>
      </c>
      <c r="AH5" s="2">
        <f>IFERROR(INDEX(Conversion!E:E,MATCH(Identity!A4,Conversion!A:A,0)),"")</f>
        <v/>
      </c>
      <c r="AI5" s="2">
        <f>IFERROR(INDEX(Conversion!F:F,MATCH(Identity!A4,Conversion!A:A,0)),"")</f>
        <v/>
      </c>
    </row>
    <row r="6">
      <c r="A6" s="2">
        <f>IF(Identity!A5="","",Identity!A5)</f>
        <v/>
      </c>
      <c r="B6" s="2">
        <f>IF(Identity!B5="","",Identity!B5)</f>
        <v/>
      </c>
      <c r="C6" s="2">
        <f>IF(Identity!C5="","",Identity!C5)</f>
        <v/>
      </c>
      <c r="D6" s="2">
        <f>IF(Identity!D5="","",Identity!D5)</f>
        <v/>
      </c>
      <c r="E6" s="2">
        <f>IF(Identity!E5="","",Identity!E5)</f>
        <v/>
      </c>
      <c r="F6" s="2">
        <f>IF(Identity!F5="","",Identity!F5)</f>
        <v/>
      </c>
      <c r="G6" s="2">
        <f>IFERROR(INDEX(Creative!B:B,MATCH(Identity!A5,Creative!A:A,0)),"")</f>
        <v/>
      </c>
      <c r="H6" s="2">
        <f>IFERROR(INDEX(Creative!C:C,MATCH(Identity!A5,Creative!A:A,0)),"")</f>
        <v/>
      </c>
      <c r="I6" s="2">
        <f>IFERROR(INDEX(Creative!D:D,MATCH(Identity!A5,Creative!A:A,0)),"")</f>
        <v/>
      </c>
      <c r="J6" s="2">
        <f>IFERROR(INDEX(Creative!E:E,MATCH(Identity!A5,Creative!A:A,0)),"")</f>
        <v/>
      </c>
      <c r="K6" s="2">
        <f>IFERROR(INDEX(Creative!F:F,MATCH(Identity!A5,Creative!A:A,0)),"")</f>
        <v/>
      </c>
      <c r="L6" s="2">
        <f>IFERROR(INDEX(Creative!G:G,MATCH(Identity!A5,Creative!A:A,0)),"")</f>
        <v/>
      </c>
      <c r="M6" s="2">
        <f>IFERROR(INDEX(Creative!H:H,MATCH(Identity!A5,Creative!A:A,0)),"")</f>
        <v/>
      </c>
      <c r="N6" s="2">
        <f>IFERROR(INDEX(Creative!I:I,MATCH(Identity!A5,Creative!A:A,0)),"")</f>
        <v/>
      </c>
      <c r="O6" s="2">
        <f>IFERROR(INDEX(Creative!J:J,MATCH(Identity!A5,Creative!A:A,0)),"")</f>
        <v/>
      </c>
      <c r="P6" s="2">
        <f>IFERROR(INDEX(Creative!K:K,MATCH(Identity!A5,Creative!A:A,0)),"")</f>
        <v/>
      </c>
      <c r="Q6" s="2">
        <f>IFERROR(INDEX(Creative!L:L,MATCH(Identity!A5,Creative!A:A,0)),"")</f>
        <v/>
      </c>
      <c r="R6" s="2">
        <f>IFERROR(INDEX(Creative!M:M,MATCH(Identity!A5,Creative!A:A,0)),"")</f>
        <v/>
      </c>
      <c r="S6" s="2">
        <f>IFERROR(INDEX(Creative!N:N,MATCH(Identity!A5,Creative!A:A,0)),"")</f>
        <v/>
      </c>
      <c r="T6" s="2">
        <f>IFERROR(INDEX(Creative!O:O,MATCH(Identity!A5,Creative!A:A,0)),"")</f>
        <v/>
      </c>
      <c r="U6" s="2">
        <f>IFERROR(INDEX(Creative!P:P,MATCH(Identity!A5,Creative!A:A,0)),"")</f>
        <v/>
      </c>
      <c r="V6" s="2">
        <f>IFERROR(INDEX(Creative!Q:Q,MATCH(Identity!A5,Creative!A:A,0)),"")</f>
        <v/>
      </c>
      <c r="W6" s="2">
        <f>IFERROR(INDEX(Performance!B:B,MATCH(Identity!A5,Performance!A:A,0)),"")</f>
        <v/>
      </c>
      <c r="X6" s="2">
        <f>IFERROR(INDEX(Performance!C:C,MATCH(Identity!A5,Performance!A:A,0)),"")</f>
        <v/>
      </c>
      <c r="Y6" s="2">
        <f>IFERROR(INDEX(Performance!D:D,MATCH(Identity!A5,Performance!A:A,0)),"")</f>
        <v/>
      </c>
      <c r="Z6" s="2">
        <f>IFERROR(INDEX(Performance!E:E,MATCH(Identity!A5,Performance!A:A,0)),"")</f>
        <v/>
      </c>
      <c r="AA6" s="2">
        <f>IFERROR(INDEX(Performance!F:F,MATCH(Identity!A5,Performance!A:A,0)),"")</f>
        <v/>
      </c>
      <c r="AB6" s="2">
        <f>IFERROR(INDEX(Performance!G:G,MATCH(Identity!A5,Performance!A:A,0)),"")</f>
        <v/>
      </c>
      <c r="AC6" s="2">
        <f>IFERROR(INDEX(Performance!H:H,MATCH(Identity!A5,Performance!A:A,0)),"")</f>
        <v/>
      </c>
      <c r="AD6" s="2">
        <f>IFERROR(INDEX(Performance!I:I,MATCH(Identity!A5,Performance!A:A,0)),"")</f>
        <v/>
      </c>
      <c r="AE6" s="2">
        <f>IFERROR(INDEX(Conversion!B:B,MATCH(Identity!A5,Conversion!A:A,0)),"")</f>
        <v/>
      </c>
      <c r="AF6" s="2">
        <f>IFERROR(INDEX(Conversion!C:C,MATCH(Identity!A5,Conversion!A:A,0)),"")</f>
        <v/>
      </c>
      <c r="AG6" s="2">
        <f>IFERROR(INDEX(Conversion!D:D,MATCH(Identity!A5,Conversion!A:A,0)),"")</f>
        <v/>
      </c>
      <c r="AH6" s="2">
        <f>IFERROR(INDEX(Conversion!E:E,MATCH(Identity!A5,Conversion!A:A,0)),"")</f>
        <v/>
      </c>
      <c r="AI6" s="2">
        <f>IFERROR(INDEX(Conversion!F:F,MATCH(Identity!A5,Conversion!A:A,0)),"")</f>
        <v/>
      </c>
    </row>
    <row r="7">
      <c r="A7" s="2">
        <f>IF(Identity!A6="","",Identity!A6)</f>
        <v/>
      </c>
      <c r="B7" s="2">
        <f>IF(Identity!B6="","",Identity!B6)</f>
        <v/>
      </c>
      <c r="C7" s="2">
        <f>IF(Identity!C6="","",Identity!C6)</f>
        <v/>
      </c>
      <c r="D7" s="2">
        <f>IF(Identity!D6="","",Identity!D6)</f>
        <v/>
      </c>
      <c r="E7" s="2">
        <f>IF(Identity!E6="","",Identity!E6)</f>
        <v/>
      </c>
      <c r="F7" s="2">
        <f>IF(Identity!F6="","",Identity!F6)</f>
        <v/>
      </c>
      <c r="G7" s="2">
        <f>IFERROR(INDEX(Creative!B:B,MATCH(Identity!A6,Creative!A:A,0)),"")</f>
        <v/>
      </c>
      <c r="H7" s="2">
        <f>IFERROR(INDEX(Creative!C:C,MATCH(Identity!A6,Creative!A:A,0)),"")</f>
        <v/>
      </c>
      <c r="I7" s="2">
        <f>IFERROR(INDEX(Creative!D:D,MATCH(Identity!A6,Creative!A:A,0)),"")</f>
        <v/>
      </c>
      <c r="J7" s="2">
        <f>IFERROR(INDEX(Creative!E:E,MATCH(Identity!A6,Creative!A:A,0)),"")</f>
        <v/>
      </c>
      <c r="K7" s="2">
        <f>IFERROR(INDEX(Creative!F:F,MATCH(Identity!A6,Creative!A:A,0)),"")</f>
        <v/>
      </c>
      <c r="L7" s="2">
        <f>IFERROR(INDEX(Creative!G:G,MATCH(Identity!A6,Creative!A:A,0)),"")</f>
        <v/>
      </c>
      <c r="M7" s="2">
        <f>IFERROR(INDEX(Creative!H:H,MATCH(Identity!A6,Creative!A:A,0)),"")</f>
        <v/>
      </c>
      <c r="N7" s="2">
        <f>IFERROR(INDEX(Creative!I:I,MATCH(Identity!A6,Creative!A:A,0)),"")</f>
        <v/>
      </c>
      <c r="O7" s="2">
        <f>IFERROR(INDEX(Creative!J:J,MATCH(Identity!A6,Creative!A:A,0)),"")</f>
        <v/>
      </c>
      <c r="P7" s="2">
        <f>IFERROR(INDEX(Creative!K:K,MATCH(Identity!A6,Creative!A:A,0)),"")</f>
        <v/>
      </c>
      <c r="Q7" s="2">
        <f>IFERROR(INDEX(Creative!L:L,MATCH(Identity!A6,Creative!A:A,0)),"")</f>
        <v/>
      </c>
      <c r="R7" s="2">
        <f>IFERROR(INDEX(Creative!M:M,MATCH(Identity!A6,Creative!A:A,0)),"")</f>
        <v/>
      </c>
      <c r="S7" s="2">
        <f>IFERROR(INDEX(Creative!N:N,MATCH(Identity!A6,Creative!A:A,0)),"")</f>
        <v/>
      </c>
      <c r="T7" s="2">
        <f>IFERROR(INDEX(Creative!O:O,MATCH(Identity!A6,Creative!A:A,0)),"")</f>
        <v/>
      </c>
      <c r="U7" s="2">
        <f>IFERROR(INDEX(Creative!P:P,MATCH(Identity!A6,Creative!A:A,0)),"")</f>
        <v/>
      </c>
      <c r="V7" s="2">
        <f>IFERROR(INDEX(Creative!Q:Q,MATCH(Identity!A6,Creative!A:A,0)),"")</f>
        <v/>
      </c>
      <c r="W7" s="2">
        <f>IFERROR(INDEX(Performance!B:B,MATCH(Identity!A6,Performance!A:A,0)),"")</f>
        <v/>
      </c>
      <c r="X7" s="2">
        <f>IFERROR(INDEX(Performance!C:C,MATCH(Identity!A6,Performance!A:A,0)),"")</f>
        <v/>
      </c>
      <c r="Y7" s="2">
        <f>IFERROR(INDEX(Performance!D:D,MATCH(Identity!A6,Performance!A:A,0)),"")</f>
        <v/>
      </c>
      <c r="Z7" s="2">
        <f>IFERROR(INDEX(Performance!E:E,MATCH(Identity!A6,Performance!A:A,0)),"")</f>
        <v/>
      </c>
      <c r="AA7" s="2">
        <f>IFERROR(INDEX(Performance!F:F,MATCH(Identity!A6,Performance!A:A,0)),"")</f>
        <v/>
      </c>
      <c r="AB7" s="2">
        <f>IFERROR(INDEX(Performance!G:G,MATCH(Identity!A6,Performance!A:A,0)),"")</f>
        <v/>
      </c>
      <c r="AC7" s="2">
        <f>IFERROR(INDEX(Performance!H:H,MATCH(Identity!A6,Performance!A:A,0)),"")</f>
        <v/>
      </c>
      <c r="AD7" s="2">
        <f>IFERROR(INDEX(Performance!I:I,MATCH(Identity!A6,Performance!A:A,0)),"")</f>
        <v/>
      </c>
      <c r="AE7" s="2">
        <f>IFERROR(INDEX(Conversion!B:B,MATCH(Identity!A6,Conversion!A:A,0)),"")</f>
        <v/>
      </c>
      <c r="AF7" s="2">
        <f>IFERROR(INDEX(Conversion!C:C,MATCH(Identity!A6,Conversion!A:A,0)),"")</f>
        <v/>
      </c>
      <c r="AG7" s="2">
        <f>IFERROR(INDEX(Conversion!D:D,MATCH(Identity!A6,Conversion!A:A,0)),"")</f>
        <v/>
      </c>
      <c r="AH7" s="2">
        <f>IFERROR(INDEX(Conversion!E:E,MATCH(Identity!A6,Conversion!A:A,0)),"")</f>
        <v/>
      </c>
      <c r="AI7" s="2">
        <f>IFERROR(INDEX(Conversion!F:F,MATCH(Identity!A6,Conversion!A:A,0)),"")</f>
        <v/>
      </c>
    </row>
    <row r="8">
      <c r="A8" s="2">
        <f>IF(Identity!A7="","",Identity!A7)</f>
        <v/>
      </c>
      <c r="B8" s="2">
        <f>IF(Identity!B7="","",Identity!B7)</f>
        <v/>
      </c>
      <c r="C8" s="2">
        <f>IF(Identity!C7="","",Identity!C7)</f>
        <v/>
      </c>
      <c r="D8" s="2">
        <f>IF(Identity!D7="","",Identity!D7)</f>
        <v/>
      </c>
      <c r="E8" s="2">
        <f>IF(Identity!E7="","",Identity!E7)</f>
        <v/>
      </c>
      <c r="F8" s="2">
        <f>IF(Identity!F7="","",Identity!F7)</f>
        <v/>
      </c>
      <c r="G8" s="2">
        <f>IFERROR(INDEX(Creative!B:B,MATCH(Identity!A7,Creative!A:A,0)),"")</f>
        <v/>
      </c>
      <c r="H8" s="2">
        <f>IFERROR(INDEX(Creative!C:C,MATCH(Identity!A7,Creative!A:A,0)),"")</f>
        <v/>
      </c>
      <c r="I8" s="2">
        <f>IFERROR(INDEX(Creative!D:D,MATCH(Identity!A7,Creative!A:A,0)),"")</f>
        <v/>
      </c>
      <c r="J8" s="2">
        <f>IFERROR(INDEX(Creative!E:E,MATCH(Identity!A7,Creative!A:A,0)),"")</f>
        <v/>
      </c>
      <c r="K8" s="2">
        <f>IFERROR(INDEX(Creative!F:F,MATCH(Identity!A7,Creative!A:A,0)),"")</f>
        <v/>
      </c>
      <c r="L8" s="2">
        <f>IFERROR(INDEX(Creative!G:G,MATCH(Identity!A7,Creative!A:A,0)),"")</f>
        <v/>
      </c>
      <c r="M8" s="2">
        <f>IFERROR(INDEX(Creative!H:H,MATCH(Identity!A7,Creative!A:A,0)),"")</f>
        <v/>
      </c>
      <c r="N8" s="2">
        <f>IFERROR(INDEX(Creative!I:I,MATCH(Identity!A7,Creative!A:A,0)),"")</f>
        <v/>
      </c>
      <c r="O8" s="2">
        <f>IFERROR(INDEX(Creative!J:J,MATCH(Identity!A7,Creative!A:A,0)),"")</f>
        <v/>
      </c>
      <c r="P8" s="2">
        <f>IFERROR(INDEX(Creative!K:K,MATCH(Identity!A7,Creative!A:A,0)),"")</f>
        <v/>
      </c>
      <c r="Q8" s="2">
        <f>IFERROR(INDEX(Creative!L:L,MATCH(Identity!A7,Creative!A:A,0)),"")</f>
        <v/>
      </c>
      <c r="R8" s="2">
        <f>IFERROR(INDEX(Creative!M:M,MATCH(Identity!A7,Creative!A:A,0)),"")</f>
        <v/>
      </c>
      <c r="S8" s="2">
        <f>IFERROR(INDEX(Creative!N:N,MATCH(Identity!A7,Creative!A:A,0)),"")</f>
        <v/>
      </c>
      <c r="T8" s="2">
        <f>IFERROR(INDEX(Creative!O:O,MATCH(Identity!A7,Creative!A:A,0)),"")</f>
        <v/>
      </c>
      <c r="U8" s="2">
        <f>IFERROR(INDEX(Creative!P:P,MATCH(Identity!A7,Creative!A:A,0)),"")</f>
        <v/>
      </c>
      <c r="V8" s="2">
        <f>IFERROR(INDEX(Creative!Q:Q,MATCH(Identity!A7,Creative!A:A,0)),"")</f>
        <v/>
      </c>
      <c r="W8" s="2">
        <f>IFERROR(INDEX(Performance!B:B,MATCH(Identity!A7,Performance!A:A,0)),"")</f>
        <v/>
      </c>
      <c r="X8" s="2">
        <f>IFERROR(INDEX(Performance!C:C,MATCH(Identity!A7,Performance!A:A,0)),"")</f>
        <v/>
      </c>
      <c r="Y8" s="2">
        <f>IFERROR(INDEX(Performance!D:D,MATCH(Identity!A7,Performance!A:A,0)),"")</f>
        <v/>
      </c>
      <c r="Z8" s="2">
        <f>IFERROR(INDEX(Performance!E:E,MATCH(Identity!A7,Performance!A:A,0)),"")</f>
        <v/>
      </c>
      <c r="AA8" s="2">
        <f>IFERROR(INDEX(Performance!F:F,MATCH(Identity!A7,Performance!A:A,0)),"")</f>
        <v/>
      </c>
      <c r="AB8" s="2">
        <f>IFERROR(INDEX(Performance!G:G,MATCH(Identity!A7,Performance!A:A,0)),"")</f>
        <v/>
      </c>
      <c r="AC8" s="2">
        <f>IFERROR(INDEX(Performance!H:H,MATCH(Identity!A7,Performance!A:A,0)),"")</f>
        <v/>
      </c>
      <c r="AD8" s="2">
        <f>IFERROR(INDEX(Performance!I:I,MATCH(Identity!A7,Performance!A:A,0)),"")</f>
        <v/>
      </c>
      <c r="AE8" s="2">
        <f>IFERROR(INDEX(Conversion!B:B,MATCH(Identity!A7,Conversion!A:A,0)),"")</f>
        <v/>
      </c>
      <c r="AF8" s="2">
        <f>IFERROR(INDEX(Conversion!C:C,MATCH(Identity!A7,Conversion!A:A,0)),"")</f>
        <v/>
      </c>
      <c r="AG8" s="2">
        <f>IFERROR(INDEX(Conversion!D:D,MATCH(Identity!A7,Conversion!A:A,0)),"")</f>
        <v/>
      </c>
      <c r="AH8" s="2">
        <f>IFERROR(INDEX(Conversion!E:E,MATCH(Identity!A7,Conversion!A:A,0)),"")</f>
        <v/>
      </c>
      <c r="AI8" s="2">
        <f>IFERROR(INDEX(Conversion!F:F,MATCH(Identity!A7,Conversion!A:A,0)),"")</f>
        <v/>
      </c>
    </row>
    <row r="9">
      <c r="A9" s="2">
        <f>IF(Identity!A8="","",Identity!A8)</f>
        <v/>
      </c>
      <c r="B9" s="2">
        <f>IF(Identity!B8="","",Identity!B8)</f>
        <v/>
      </c>
      <c r="C9" s="2">
        <f>IF(Identity!C8="","",Identity!C8)</f>
        <v/>
      </c>
      <c r="D9" s="2">
        <f>IF(Identity!D8="","",Identity!D8)</f>
        <v/>
      </c>
      <c r="E9" s="2">
        <f>IF(Identity!E8="","",Identity!E8)</f>
        <v/>
      </c>
      <c r="F9" s="2">
        <f>IF(Identity!F8="","",Identity!F8)</f>
        <v/>
      </c>
      <c r="G9" s="2">
        <f>IFERROR(INDEX(Creative!B:B,MATCH(Identity!A8,Creative!A:A,0)),"")</f>
        <v/>
      </c>
      <c r="H9" s="2">
        <f>IFERROR(INDEX(Creative!C:C,MATCH(Identity!A8,Creative!A:A,0)),"")</f>
        <v/>
      </c>
      <c r="I9" s="2">
        <f>IFERROR(INDEX(Creative!D:D,MATCH(Identity!A8,Creative!A:A,0)),"")</f>
        <v/>
      </c>
      <c r="J9" s="2">
        <f>IFERROR(INDEX(Creative!E:E,MATCH(Identity!A8,Creative!A:A,0)),"")</f>
        <v/>
      </c>
      <c r="K9" s="2">
        <f>IFERROR(INDEX(Creative!F:F,MATCH(Identity!A8,Creative!A:A,0)),"")</f>
        <v/>
      </c>
      <c r="L9" s="2">
        <f>IFERROR(INDEX(Creative!G:G,MATCH(Identity!A8,Creative!A:A,0)),"")</f>
        <v/>
      </c>
      <c r="M9" s="2">
        <f>IFERROR(INDEX(Creative!H:H,MATCH(Identity!A8,Creative!A:A,0)),"")</f>
        <v/>
      </c>
      <c r="N9" s="2">
        <f>IFERROR(INDEX(Creative!I:I,MATCH(Identity!A8,Creative!A:A,0)),"")</f>
        <v/>
      </c>
      <c r="O9" s="2">
        <f>IFERROR(INDEX(Creative!J:J,MATCH(Identity!A8,Creative!A:A,0)),"")</f>
        <v/>
      </c>
      <c r="P9" s="2">
        <f>IFERROR(INDEX(Creative!K:K,MATCH(Identity!A8,Creative!A:A,0)),"")</f>
        <v/>
      </c>
      <c r="Q9" s="2">
        <f>IFERROR(INDEX(Creative!L:L,MATCH(Identity!A8,Creative!A:A,0)),"")</f>
        <v/>
      </c>
      <c r="R9" s="2">
        <f>IFERROR(INDEX(Creative!M:M,MATCH(Identity!A8,Creative!A:A,0)),"")</f>
        <v/>
      </c>
      <c r="S9" s="2">
        <f>IFERROR(INDEX(Creative!N:N,MATCH(Identity!A8,Creative!A:A,0)),"")</f>
        <v/>
      </c>
      <c r="T9" s="2">
        <f>IFERROR(INDEX(Creative!O:O,MATCH(Identity!A8,Creative!A:A,0)),"")</f>
        <v/>
      </c>
      <c r="U9" s="2">
        <f>IFERROR(INDEX(Creative!P:P,MATCH(Identity!A8,Creative!A:A,0)),"")</f>
        <v/>
      </c>
      <c r="V9" s="2">
        <f>IFERROR(INDEX(Creative!Q:Q,MATCH(Identity!A8,Creative!A:A,0)),"")</f>
        <v/>
      </c>
      <c r="W9" s="2">
        <f>IFERROR(INDEX(Performance!B:B,MATCH(Identity!A8,Performance!A:A,0)),"")</f>
        <v/>
      </c>
      <c r="X9" s="2">
        <f>IFERROR(INDEX(Performance!C:C,MATCH(Identity!A8,Performance!A:A,0)),"")</f>
        <v/>
      </c>
      <c r="Y9" s="2">
        <f>IFERROR(INDEX(Performance!D:D,MATCH(Identity!A8,Performance!A:A,0)),"")</f>
        <v/>
      </c>
      <c r="Z9" s="2">
        <f>IFERROR(INDEX(Performance!E:E,MATCH(Identity!A8,Performance!A:A,0)),"")</f>
        <v/>
      </c>
      <c r="AA9" s="2">
        <f>IFERROR(INDEX(Performance!F:F,MATCH(Identity!A8,Performance!A:A,0)),"")</f>
        <v/>
      </c>
      <c r="AB9" s="2">
        <f>IFERROR(INDEX(Performance!G:G,MATCH(Identity!A8,Performance!A:A,0)),"")</f>
        <v/>
      </c>
      <c r="AC9" s="2">
        <f>IFERROR(INDEX(Performance!H:H,MATCH(Identity!A8,Performance!A:A,0)),"")</f>
        <v/>
      </c>
      <c r="AD9" s="2">
        <f>IFERROR(INDEX(Performance!I:I,MATCH(Identity!A8,Performance!A:A,0)),"")</f>
        <v/>
      </c>
      <c r="AE9" s="2">
        <f>IFERROR(INDEX(Conversion!B:B,MATCH(Identity!A8,Conversion!A:A,0)),"")</f>
        <v/>
      </c>
      <c r="AF9" s="2">
        <f>IFERROR(INDEX(Conversion!C:C,MATCH(Identity!A8,Conversion!A:A,0)),"")</f>
        <v/>
      </c>
      <c r="AG9" s="2">
        <f>IFERROR(INDEX(Conversion!D:D,MATCH(Identity!A8,Conversion!A:A,0)),"")</f>
        <v/>
      </c>
      <c r="AH9" s="2">
        <f>IFERROR(INDEX(Conversion!E:E,MATCH(Identity!A8,Conversion!A:A,0)),"")</f>
        <v/>
      </c>
      <c r="AI9" s="2">
        <f>IFERROR(INDEX(Conversion!F:F,MATCH(Identity!A8,Conversion!A:A,0)),"")</f>
        <v/>
      </c>
    </row>
    <row r="10">
      <c r="A10" s="2">
        <f>IF(Identity!A9="","",Identity!A9)</f>
        <v/>
      </c>
      <c r="B10" s="2">
        <f>IF(Identity!B9="","",Identity!B9)</f>
        <v/>
      </c>
      <c r="C10" s="2">
        <f>IF(Identity!C9="","",Identity!C9)</f>
        <v/>
      </c>
      <c r="D10" s="2">
        <f>IF(Identity!D9="","",Identity!D9)</f>
        <v/>
      </c>
      <c r="E10" s="2">
        <f>IF(Identity!E9="","",Identity!E9)</f>
        <v/>
      </c>
      <c r="F10" s="2">
        <f>IF(Identity!F9="","",Identity!F9)</f>
        <v/>
      </c>
      <c r="G10" s="2">
        <f>IFERROR(INDEX(Creative!B:B,MATCH(Identity!A9,Creative!A:A,0)),"")</f>
        <v/>
      </c>
      <c r="H10" s="2">
        <f>IFERROR(INDEX(Creative!C:C,MATCH(Identity!A9,Creative!A:A,0)),"")</f>
        <v/>
      </c>
      <c r="I10" s="2">
        <f>IFERROR(INDEX(Creative!D:D,MATCH(Identity!A9,Creative!A:A,0)),"")</f>
        <v/>
      </c>
      <c r="J10" s="2">
        <f>IFERROR(INDEX(Creative!E:E,MATCH(Identity!A9,Creative!A:A,0)),"")</f>
        <v/>
      </c>
      <c r="K10" s="2">
        <f>IFERROR(INDEX(Creative!F:F,MATCH(Identity!A9,Creative!A:A,0)),"")</f>
        <v/>
      </c>
      <c r="L10" s="2">
        <f>IFERROR(INDEX(Creative!G:G,MATCH(Identity!A9,Creative!A:A,0)),"")</f>
        <v/>
      </c>
      <c r="M10" s="2">
        <f>IFERROR(INDEX(Creative!H:H,MATCH(Identity!A9,Creative!A:A,0)),"")</f>
        <v/>
      </c>
      <c r="N10" s="2">
        <f>IFERROR(INDEX(Creative!I:I,MATCH(Identity!A9,Creative!A:A,0)),"")</f>
        <v/>
      </c>
      <c r="O10" s="2">
        <f>IFERROR(INDEX(Creative!J:J,MATCH(Identity!A9,Creative!A:A,0)),"")</f>
        <v/>
      </c>
      <c r="P10" s="2">
        <f>IFERROR(INDEX(Creative!K:K,MATCH(Identity!A9,Creative!A:A,0)),"")</f>
        <v/>
      </c>
      <c r="Q10" s="2">
        <f>IFERROR(INDEX(Creative!L:L,MATCH(Identity!A9,Creative!A:A,0)),"")</f>
        <v/>
      </c>
      <c r="R10" s="2">
        <f>IFERROR(INDEX(Creative!M:M,MATCH(Identity!A9,Creative!A:A,0)),"")</f>
        <v/>
      </c>
      <c r="S10" s="2">
        <f>IFERROR(INDEX(Creative!N:N,MATCH(Identity!A9,Creative!A:A,0)),"")</f>
        <v/>
      </c>
      <c r="T10" s="2">
        <f>IFERROR(INDEX(Creative!O:O,MATCH(Identity!A9,Creative!A:A,0)),"")</f>
        <v/>
      </c>
      <c r="U10" s="2">
        <f>IFERROR(INDEX(Creative!P:P,MATCH(Identity!A9,Creative!A:A,0)),"")</f>
        <v/>
      </c>
      <c r="V10" s="2">
        <f>IFERROR(INDEX(Creative!Q:Q,MATCH(Identity!A9,Creative!A:A,0)),"")</f>
        <v/>
      </c>
      <c r="W10" s="2">
        <f>IFERROR(INDEX(Performance!B:B,MATCH(Identity!A9,Performance!A:A,0)),"")</f>
        <v/>
      </c>
      <c r="X10" s="2">
        <f>IFERROR(INDEX(Performance!C:C,MATCH(Identity!A9,Performance!A:A,0)),"")</f>
        <v/>
      </c>
      <c r="Y10" s="2">
        <f>IFERROR(INDEX(Performance!D:D,MATCH(Identity!A9,Performance!A:A,0)),"")</f>
        <v/>
      </c>
      <c r="Z10" s="2">
        <f>IFERROR(INDEX(Performance!E:E,MATCH(Identity!A9,Performance!A:A,0)),"")</f>
        <v/>
      </c>
      <c r="AA10" s="2">
        <f>IFERROR(INDEX(Performance!F:F,MATCH(Identity!A9,Performance!A:A,0)),"")</f>
        <v/>
      </c>
      <c r="AB10" s="2">
        <f>IFERROR(INDEX(Performance!G:G,MATCH(Identity!A9,Performance!A:A,0)),"")</f>
        <v/>
      </c>
      <c r="AC10" s="2">
        <f>IFERROR(INDEX(Performance!H:H,MATCH(Identity!A9,Performance!A:A,0)),"")</f>
        <v/>
      </c>
      <c r="AD10" s="2">
        <f>IFERROR(INDEX(Performance!I:I,MATCH(Identity!A9,Performance!A:A,0)),"")</f>
        <v/>
      </c>
      <c r="AE10" s="2">
        <f>IFERROR(INDEX(Conversion!B:B,MATCH(Identity!A9,Conversion!A:A,0)),"")</f>
        <v/>
      </c>
      <c r="AF10" s="2">
        <f>IFERROR(INDEX(Conversion!C:C,MATCH(Identity!A9,Conversion!A:A,0)),"")</f>
        <v/>
      </c>
      <c r="AG10" s="2">
        <f>IFERROR(INDEX(Conversion!D:D,MATCH(Identity!A9,Conversion!A:A,0)),"")</f>
        <v/>
      </c>
      <c r="AH10" s="2">
        <f>IFERROR(INDEX(Conversion!E:E,MATCH(Identity!A9,Conversion!A:A,0)),"")</f>
        <v/>
      </c>
      <c r="AI10" s="2">
        <f>IFERROR(INDEX(Conversion!F:F,MATCH(Identity!A9,Conversion!A:A,0)),"")</f>
        <v/>
      </c>
    </row>
    <row r="11">
      <c r="A11" s="2">
        <f>IF(Identity!A10="","",Identity!A10)</f>
        <v/>
      </c>
      <c r="B11" s="2">
        <f>IF(Identity!B10="","",Identity!B10)</f>
        <v/>
      </c>
      <c r="C11" s="2">
        <f>IF(Identity!C10="","",Identity!C10)</f>
        <v/>
      </c>
      <c r="D11" s="2">
        <f>IF(Identity!D10="","",Identity!D10)</f>
        <v/>
      </c>
      <c r="E11" s="2">
        <f>IF(Identity!E10="","",Identity!E10)</f>
        <v/>
      </c>
      <c r="F11" s="2">
        <f>IF(Identity!F10="","",Identity!F10)</f>
        <v/>
      </c>
      <c r="G11" s="2">
        <f>IFERROR(INDEX(Creative!B:B,MATCH(Identity!A10,Creative!A:A,0)),"")</f>
        <v/>
      </c>
      <c r="H11" s="2">
        <f>IFERROR(INDEX(Creative!C:C,MATCH(Identity!A10,Creative!A:A,0)),"")</f>
        <v/>
      </c>
      <c r="I11" s="2">
        <f>IFERROR(INDEX(Creative!D:D,MATCH(Identity!A10,Creative!A:A,0)),"")</f>
        <v/>
      </c>
      <c r="J11" s="2">
        <f>IFERROR(INDEX(Creative!E:E,MATCH(Identity!A10,Creative!A:A,0)),"")</f>
        <v/>
      </c>
      <c r="K11" s="2">
        <f>IFERROR(INDEX(Creative!F:F,MATCH(Identity!A10,Creative!A:A,0)),"")</f>
        <v/>
      </c>
      <c r="L11" s="2">
        <f>IFERROR(INDEX(Creative!G:G,MATCH(Identity!A10,Creative!A:A,0)),"")</f>
        <v/>
      </c>
      <c r="M11" s="2">
        <f>IFERROR(INDEX(Creative!H:H,MATCH(Identity!A10,Creative!A:A,0)),"")</f>
        <v/>
      </c>
      <c r="N11" s="2">
        <f>IFERROR(INDEX(Creative!I:I,MATCH(Identity!A10,Creative!A:A,0)),"")</f>
        <v/>
      </c>
      <c r="O11" s="2">
        <f>IFERROR(INDEX(Creative!J:J,MATCH(Identity!A10,Creative!A:A,0)),"")</f>
        <v/>
      </c>
      <c r="P11" s="2">
        <f>IFERROR(INDEX(Creative!K:K,MATCH(Identity!A10,Creative!A:A,0)),"")</f>
        <v/>
      </c>
      <c r="Q11" s="2">
        <f>IFERROR(INDEX(Creative!L:L,MATCH(Identity!A10,Creative!A:A,0)),"")</f>
        <v/>
      </c>
      <c r="R11" s="2">
        <f>IFERROR(INDEX(Creative!M:M,MATCH(Identity!A10,Creative!A:A,0)),"")</f>
        <v/>
      </c>
      <c r="S11" s="2">
        <f>IFERROR(INDEX(Creative!N:N,MATCH(Identity!A10,Creative!A:A,0)),"")</f>
        <v/>
      </c>
      <c r="T11" s="2">
        <f>IFERROR(INDEX(Creative!O:O,MATCH(Identity!A10,Creative!A:A,0)),"")</f>
        <v/>
      </c>
      <c r="U11" s="2">
        <f>IFERROR(INDEX(Creative!P:P,MATCH(Identity!A10,Creative!A:A,0)),"")</f>
        <v/>
      </c>
      <c r="V11" s="2">
        <f>IFERROR(INDEX(Creative!Q:Q,MATCH(Identity!A10,Creative!A:A,0)),"")</f>
        <v/>
      </c>
      <c r="W11" s="2">
        <f>IFERROR(INDEX(Performance!B:B,MATCH(Identity!A10,Performance!A:A,0)),"")</f>
        <v/>
      </c>
      <c r="X11" s="2">
        <f>IFERROR(INDEX(Performance!C:C,MATCH(Identity!A10,Performance!A:A,0)),"")</f>
        <v/>
      </c>
      <c r="Y11" s="2">
        <f>IFERROR(INDEX(Performance!D:D,MATCH(Identity!A10,Performance!A:A,0)),"")</f>
        <v/>
      </c>
      <c r="Z11" s="2">
        <f>IFERROR(INDEX(Performance!E:E,MATCH(Identity!A10,Performance!A:A,0)),"")</f>
        <v/>
      </c>
      <c r="AA11" s="2">
        <f>IFERROR(INDEX(Performance!F:F,MATCH(Identity!A10,Performance!A:A,0)),"")</f>
        <v/>
      </c>
      <c r="AB11" s="2">
        <f>IFERROR(INDEX(Performance!G:G,MATCH(Identity!A10,Performance!A:A,0)),"")</f>
        <v/>
      </c>
      <c r="AC11" s="2">
        <f>IFERROR(INDEX(Performance!H:H,MATCH(Identity!A10,Performance!A:A,0)),"")</f>
        <v/>
      </c>
      <c r="AD11" s="2">
        <f>IFERROR(INDEX(Performance!I:I,MATCH(Identity!A10,Performance!A:A,0)),"")</f>
        <v/>
      </c>
      <c r="AE11" s="2">
        <f>IFERROR(INDEX(Conversion!B:B,MATCH(Identity!A10,Conversion!A:A,0)),"")</f>
        <v/>
      </c>
      <c r="AF11" s="2">
        <f>IFERROR(INDEX(Conversion!C:C,MATCH(Identity!A10,Conversion!A:A,0)),"")</f>
        <v/>
      </c>
      <c r="AG11" s="2">
        <f>IFERROR(INDEX(Conversion!D:D,MATCH(Identity!A10,Conversion!A:A,0)),"")</f>
        <v/>
      </c>
      <c r="AH11" s="2">
        <f>IFERROR(INDEX(Conversion!E:E,MATCH(Identity!A10,Conversion!A:A,0)),"")</f>
        <v/>
      </c>
      <c r="AI11" s="2">
        <f>IFERROR(INDEX(Conversion!F:F,MATCH(Identity!A10,Conversion!A:A,0)),"")</f>
        <v/>
      </c>
    </row>
    <row r="12">
      <c r="A12" s="2">
        <f>IF(Identity!A11="","",Identity!A11)</f>
        <v/>
      </c>
      <c r="B12" s="2">
        <f>IF(Identity!B11="","",Identity!B11)</f>
        <v/>
      </c>
      <c r="C12" s="2">
        <f>IF(Identity!C11="","",Identity!C11)</f>
        <v/>
      </c>
      <c r="D12" s="2">
        <f>IF(Identity!D11="","",Identity!D11)</f>
        <v/>
      </c>
      <c r="E12" s="2">
        <f>IF(Identity!E11="","",Identity!E11)</f>
        <v/>
      </c>
      <c r="F12" s="2">
        <f>IF(Identity!F11="","",Identity!F11)</f>
        <v/>
      </c>
      <c r="G12" s="2">
        <f>IFERROR(INDEX(Creative!B:B,MATCH(Identity!A11,Creative!A:A,0)),"")</f>
        <v/>
      </c>
      <c r="H12" s="2">
        <f>IFERROR(INDEX(Creative!C:C,MATCH(Identity!A11,Creative!A:A,0)),"")</f>
        <v/>
      </c>
      <c r="I12" s="2">
        <f>IFERROR(INDEX(Creative!D:D,MATCH(Identity!A11,Creative!A:A,0)),"")</f>
        <v/>
      </c>
      <c r="J12" s="2">
        <f>IFERROR(INDEX(Creative!E:E,MATCH(Identity!A11,Creative!A:A,0)),"")</f>
        <v/>
      </c>
      <c r="K12" s="2">
        <f>IFERROR(INDEX(Creative!F:F,MATCH(Identity!A11,Creative!A:A,0)),"")</f>
        <v/>
      </c>
      <c r="L12" s="2">
        <f>IFERROR(INDEX(Creative!G:G,MATCH(Identity!A11,Creative!A:A,0)),"")</f>
        <v/>
      </c>
      <c r="M12" s="2">
        <f>IFERROR(INDEX(Creative!H:H,MATCH(Identity!A11,Creative!A:A,0)),"")</f>
        <v/>
      </c>
      <c r="N12" s="2">
        <f>IFERROR(INDEX(Creative!I:I,MATCH(Identity!A11,Creative!A:A,0)),"")</f>
        <v/>
      </c>
      <c r="O12" s="2">
        <f>IFERROR(INDEX(Creative!J:J,MATCH(Identity!A11,Creative!A:A,0)),"")</f>
        <v/>
      </c>
      <c r="P12" s="2">
        <f>IFERROR(INDEX(Creative!K:K,MATCH(Identity!A11,Creative!A:A,0)),"")</f>
        <v/>
      </c>
      <c r="Q12" s="2">
        <f>IFERROR(INDEX(Creative!L:L,MATCH(Identity!A11,Creative!A:A,0)),"")</f>
        <v/>
      </c>
      <c r="R12" s="2">
        <f>IFERROR(INDEX(Creative!M:M,MATCH(Identity!A11,Creative!A:A,0)),"")</f>
        <v/>
      </c>
      <c r="S12" s="2">
        <f>IFERROR(INDEX(Creative!N:N,MATCH(Identity!A11,Creative!A:A,0)),"")</f>
        <v/>
      </c>
      <c r="T12" s="2">
        <f>IFERROR(INDEX(Creative!O:O,MATCH(Identity!A11,Creative!A:A,0)),"")</f>
        <v/>
      </c>
      <c r="U12" s="2">
        <f>IFERROR(INDEX(Creative!P:P,MATCH(Identity!A11,Creative!A:A,0)),"")</f>
        <v/>
      </c>
      <c r="V12" s="2">
        <f>IFERROR(INDEX(Creative!Q:Q,MATCH(Identity!A11,Creative!A:A,0)),"")</f>
        <v/>
      </c>
      <c r="W12" s="2">
        <f>IFERROR(INDEX(Performance!B:B,MATCH(Identity!A11,Performance!A:A,0)),"")</f>
        <v/>
      </c>
      <c r="X12" s="2">
        <f>IFERROR(INDEX(Performance!C:C,MATCH(Identity!A11,Performance!A:A,0)),"")</f>
        <v/>
      </c>
      <c r="Y12" s="2">
        <f>IFERROR(INDEX(Performance!D:D,MATCH(Identity!A11,Performance!A:A,0)),"")</f>
        <v/>
      </c>
      <c r="Z12" s="2">
        <f>IFERROR(INDEX(Performance!E:E,MATCH(Identity!A11,Performance!A:A,0)),"")</f>
        <v/>
      </c>
      <c r="AA12" s="2">
        <f>IFERROR(INDEX(Performance!F:F,MATCH(Identity!A11,Performance!A:A,0)),"")</f>
        <v/>
      </c>
      <c r="AB12" s="2">
        <f>IFERROR(INDEX(Performance!G:G,MATCH(Identity!A11,Performance!A:A,0)),"")</f>
        <v/>
      </c>
      <c r="AC12" s="2">
        <f>IFERROR(INDEX(Performance!H:H,MATCH(Identity!A11,Performance!A:A,0)),"")</f>
        <v/>
      </c>
      <c r="AD12" s="2">
        <f>IFERROR(INDEX(Performance!I:I,MATCH(Identity!A11,Performance!A:A,0)),"")</f>
        <v/>
      </c>
      <c r="AE12" s="2">
        <f>IFERROR(INDEX(Conversion!B:B,MATCH(Identity!A11,Conversion!A:A,0)),"")</f>
        <v/>
      </c>
      <c r="AF12" s="2">
        <f>IFERROR(INDEX(Conversion!C:C,MATCH(Identity!A11,Conversion!A:A,0)),"")</f>
        <v/>
      </c>
      <c r="AG12" s="2">
        <f>IFERROR(INDEX(Conversion!D:D,MATCH(Identity!A11,Conversion!A:A,0)),"")</f>
        <v/>
      </c>
      <c r="AH12" s="2">
        <f>IFERROR(INDEX(Conversion!E:E,MATCH(Identity!A11,Conversion!A:A,0)),"")</f>
        <v/>
      </c>
      <c r="AI12" s="2">
        <f>IFERROR(INDEX(Conversion!F:F,MATCH(Identity!A11,Conversion!A:A,0)),"")</f>
        <v/>
      </c>
    </row>
    <row r="13">
      <c r="A13" s="2">
        <f>IF(Identity!A12="","",Identity!A12)</f>
        <v/>
      </c>
      <c r="B13" s="2">
        <f>IF(Identity!B12="","",Identity!B12)</f>
        <v/>
      </c>
      <c r="C13" s="2">
        <f>IF(Identity!C12="","",Identity!C12)</f>
        <v/>
      </c>
      <c r="D13" s="2">
        <f>IF(Identity!D12="","",Identity!D12)</f>
        <v/>
      </c>
      <c r="E13" s="2">
        <f>IF(Identity!E12="","",Identity!E12)</f>
        <v/>
      </c>
      <c r="F13" s="2">
        <f>IF(Identity!F12="","",Identity!F12)</f>
        <v/>
      </c>
      <c r="G13" s="2">
        <f>IFERROR(INDEX(Creative!B:B,MATCH(Identity!A12,Creative!A:A,0)),"")</f>
        <v/>
      </c>
      <c r="H13" s="2">
        <f>IFERROR(INDEX(Creative!C:C,MATCH(Identity!A12,Creative!A:A,0)),"")</f>
        <v/>
      </c>
      <c r="I13" s="2">
        <f>IFERROR(INDEX(Creative!D:D,MATCH(Identity!A12,Creative!A:A,0)),"")</f>
        <v/>
      </c>
      <c r="J13" s="2">
        <f>IFERROR(INDEX(Creative!E:E,MATCH(Identity!A12,Creative!A:A,0)),"")</f>
        <v/>
      </c>
      <c r="K13" s="2">
        <f>IFERROR(INDEX(Creative!F:F,MATCH(Identity!A12,Creative!A:A,0)),"")</f>
        <v/>
      </c>
      <c r="L13" s="2">
        <f>IFERROR(INDEX(Creative!G:G,MATCH(Identity!A12,Creative!A:A,0)),"")</f>
        <v/>
      </c>
      <c r="M13" s="2">
        <f>IFERROR(INDEX(Creative!H:H,MATCH(Identity!A12,Creative!A:A,0)),"")</f>
        <v/>
      </c>
      <c r="N13" s="2">
        <f>IFERROR(INDEX(Creative!I:I,MATCH(Identity!A12,Creative!A:A,0)),"")</f>
        <v/>
      </c>
      <c r="O13" s="2">
        <f>IFERROR(INDEX(Creative!J:J,MATCH(Identity!A12,Creative!A:A,0)),"")</f>
        <v/>
      </c>
      <c r="P13" s="2">
        <f>IFERROR(INDEX(Creative!K:K,MATCH(Identity!A12,Creative!A:A,0)),"")</f>
        <v/>
      </c>
      <c r="Q13" s="2">
        <f>IFERROR(INDEX(Creative!L:L,MATCH(Identity!A12,Creative!A:A,0)),"")</f>
        <v/>
      </c>
      <c r="R13" s="2">
        <f>IFERROR(INDEX(Creative!M:M,MATCH(Identity!A12,Creative!A:A,0)),"")</f>
        <v/>
      </c>
      <c r="S13" s="2">
        <f>IFERROR(INDEX(Creative!N:N,MATCH(Identity!A12,Creative!A:A,0)),"")</f>
        <v/>
      </c>
      <c r="T13" s="2">
        <f>IFERROR(INDEX(Creative!O:O,MATCH(Identity!A12,Creative!A:A,0)),"")</f>
        <v/>
      </c>
      <c r="U13" s="2">
        <f>IFERROR(INDEX(Creative!P:P,MATCH(Identity!A12,Creative!A:A,0)),"")</f>
        <v/>
      </c>
      <c r="V13" s="2">
        <f>IFERROR(INDEX(Creative!Q:Q,MATCH(Identity!A12,Creative!A:A,0)),"")</f>
        <v/>
      </c>
      <c r="W13" s="2">
        <f>IFERROR(INDEX(Performance!B:B,MATCH(Identity!A12,Performance!A:A,0)),"")</f>
        <v/>
      </c>
      <c r="X13" s="2">
        <f>IFERROR(INDEX(Performance!C:C,MATCH(Identity!A12,Performance!A:A,0)),"")</f>
        <v/>
      </c>
      <c r="Y13" s="2">
        <f>IFERROR(INDEX(Performance!D:D,MATCH(Identity!A12,Performance!A:A,0)),"")</f>
        <v/>
      </c>
      <c r="Z13" s="2">
        <f>IFERROR(INDEX(Performance!E:E,MATCH(Identity!A12,Performance!A:A,0)),"")</f>
        <v/>
      </c>
      <c r="AA13" s="2">
        <f>IFERROR(INDEX(Performance!F:F,MATCH(Identity!A12,Performance!A:A,0)),"")</f>
        <v/>
      </c>
      <c r="AB13" s="2">
        <f>IFERROR(INDEX(Performance!G:G,MATCH(Identity!A12,Performance!A:A,0)),"")</f>
        <v/>
      </c>
      <c r="AC13" s="2">
        <f>IFERROR(INDEX(Performance!H:H,MATCH(Identity!A12,Performance!A:A,0)),"")</f>
        <v/>
      </c>
      <c r="AD13" s="2">
        <f>IFERROR(INDEX(Performance!I:I,MATCH(Identity!A12,Performance!A:A,0)),"")</f>
        <v/>
      </c>
      <c r="AE13" s="2">
        <f>IFERROR(INDEX(Conversion!B:B,MATCH(Identity!A12,Conversion!A:A,0)),"")</f>
        <v/>
      </c>
      <c r="AF13" s="2">
        <f>IFERROR(INDEX(Conversion!C:C,MATCH(Identity!A12,Conversion!A:A,0)),"")</f>
        <v/>
      </c>
      <c r="AG13" s="2">
        <f>IFERROR(INDEX(Conversion!D:D,MATCH(Identity!A12,Conversion!A:A,0)),"")</f>
        <v/>
      </c>
      <c r="AH13" s="2">
        <f>IFERROR(INDEX(Conversion!E:E,MATCH(Identity!A12,Conversion!A:A,0)),"")</f>
        <v/>
      </c>
      <c r="AI13" s="2">
        <f>IFERROR(INDEX(Conversion!F:F,MATCH(Identity!A12,Conversion!A:A,0)),"")</f>
        <v/>
      </c>
    </row>
    <row r="14">
      <c r="A14" s="2">
        <f>IF(Identity!A13="","",Identity!A13)</f>
        <v/>
      </c>
      <c r="B14" s="2">
        <f>IF(Identity!B13="","",Identity!B13)</f>
        <v/>
      </c>
      <c r="C14" s="2">
        <f>IF(Identity!C13="","",Identity!C13)</f>
        <v/>
      </c>
      <c r="D14" s="2">
        <f>IF(Identity!D13="","",Identity!D13)</f>
        <v/>
      </c>
      <c r="E14" s="2">
        <f>IF(Identity!E13="","",Identity!E13)</f>
        <v/>
      </c>
      <c r="F14" s="2">
        <f>IF(Identity!F13="","",Identity!F13)</f>
        <v/>
      </c>
      <c r="G14" s="2">
        <f>IFERROR(INDEX(Creative!B:B,MATCH(Identity!A13,Creative!A:A,0)),"")</f>
        <v/>
      </c>
      <c r="H14" s="2">
        <f>IFERROR(INDEX(Creative!C:C,MATCH(Identity!A13,Creative!A:A,0)),"")</f>
        <v/>
      </c>
      <c r="I14" s="2">
        <f>IFERROR(INDEX(Creative!D:D,MATCH(Identity!A13,Creative!A:A,0)),"")</f>
        <v/>
      </c>
      <c r="J14" s="2">
        <f>IFERROR(INDEX(Creative!E:E,MATCH(Identity!A13,Creative!A:A,0)),"")</f>
        <v/>
      </c>
      <c r="K14" s="2">
        <f>IFERROR(INDEX(Creative!F:F,MATCH(Identity!A13,Creative!A:A,0)),"")</f>
        <v/>
      </c>
      <c r="L14" s="2">
        <f>IFERROR(INDEX(Creative!G:G,MATCH(Identity!A13,Creative!A:A,0)),"")</f>
        <v/>
      </c>
      <c r="M14" s="2">
        <f>IFERROR(INDEX(Creative!H:H,MATCH(Identity!A13,Creative!A:A,0)),"")</f>
        <v/>
      </c>
      <c r="N14" s="2">
        <f>IFERROR(INDEX(Creative!I:I,MATCH(Identity!A13,Creative!A:A,0)),"")</f>
        <v/>
      </c>
      <c r="O14" s="2">
        <f>IFERROR(INDEX(Creative!J:J,MATCH(Identity!A13,Creative!A:A,0)),"")</f>
        <v/>
      </c>
      <c r="P14" s="2">
        <f>IFERROR(INDEX(Creative!K:K,MATCH(Identity!A13,Creative!A:A,0)),"")</f>
        <v/>
      </c>
      <c r="Q14" s="2">
        <f>IFERROR(INDEX(Creative!L:L,MATCH(Identity!A13,Creative!A:A,0)),"")</f>
        <v/>
      </c>
      <c r="R14" s="2">
        <f>IFERROR(INDEX(Creative!M:M,MATCH(Identity!A13,Creative!A:A,0)),"")</f>
        <v/>
      </c>
      <c r="S14" s="2">
        <f>IFERROR(INDEX(Creative!N:N,MATCH(Identity!A13,Creative!A:A,0)),"")</f>
        <v/>
      </c>
      <c r="T14" s="2">
        <f>IFERROR(INDEX(Creative!O:O,MATCH(Identity!A13,Creative!A:A,0)),"")</f>
        <v/>
      </c>
      <c r="U14" s="2">
        <f>IFERROR(INDEX(Creative!P:P,MATCH(Identity!A13,Creative!A:A,0)),"")</f>
        <v/>
      </c>
      <c r="V14" s="2">
        <f>IFERROR(INDEX(Creative!Q:Q,MATCH(Identity!A13,Creative!A:A,0)),"")</f>
        <v/>
      </c>
      <c r="W14" s="2">
        <f>IFERROR(INDEX(Performance!B:B,MATCH(Identity!A13,Performance!A:A,0)),"")</f>
        <v/>
      </c>
      <c r="X14" s="2">
        <f>IFERROR(INDEX(Performance!C:C,MATCH(Identity!A13,Performance!A:A,0)),"")</f>
        <v/>
      </c>
      <c r="Y14" s="2">
        <f>IFERROR(INDEX(Performance!D:D,MATCH(Identity!A13,Performance!A:A,0)),"")</f>
        <v/>
      </c>
      <c r="Z14" s="2">
        <f>IFERROR(INDEX(Performance!E:E,MATCH(Identity!A13,Performance!A:A,0)),"")</f>
        <v/>
      </c>
      <c r="AA14" s="2">
        <f>IFERROR(INDEX(Performance!F:F,MATCH(Identity!A13,Performance!A:A,0)),"")</f>
        <v/>
      </c>
      <c r="AB14" s="2">
        <f>IFERROR(INDEX(Performance!G:G,MATCH(Identity!A13,Performance!A:A,0)),"")</f>
        <v/>
      </c>
      <c r="AC14" s="2">
        <f>IFERROR(INDEX(Performance!H:H,MATCH(Identity!A13,Performance!A:A,0)),"")</f>
        <v/>
      </c>
      <c r="AD14" s="2">
        <f>IFERROR(INDEX(Performance!I:I,MATCH(Identity!A13,Performance!A:A,0)),"")</f>
        <v/>
      </c>
      <c r="AE14" s="2">
        <f>IFERROR(INDEX(Conversion!B:B,MATCH(Identity!A13,Conversion!A:A,0)),"")</f>
        <v/>
      </c>
      <c r="AF14" s="2">
        <f>IFERROR(INDEX(Conversion!C:C,MATCH(Identity!A13,Conversion!A:A,0)),"")</f>
        <v/>
      </c>
      <c r="AG14" s="2">
        <f>IFERROR(INDEX(Conversion!D:D,MATCH(Identity!A13,Conversion!A:A,0)),"")</f>
        <v/>
      </c>
      <c r="AH14" s="2">
        <f>IFERROR(INDEX(Conversion!E:E,MATCH(Identity!A13,Conversion!A:A,0)),"")</f>
        <v/>
      </c>
      <c r="AI14" s="2">
        <f>IFERROR(INDEX(Conversion!F:F,MATCH(Identity!A13,Conversion!A:A,0)),"")</f>
        <v/>
      </c>
    </row>
    <row r="15">
      <c r="A15" s="2">
        <f>IF(Identity!A14="","",Identity!A14)</f>
        <v/>
      </c>
      <c r="B15" s="2">
        <f>IF(Identity!B14="","",Identity!B14)</f>
        <v/>
      </c>
      <c r="C15" s="2">
        <f>IF(Identity!C14="","",Identity!C14)</f>
        <v/>
      </c>
      <c r="D15" s="2">
        <f>IF(Identity!D14="","",Identity!D14)</f>
        <v/>
      </c>
      <c r="E15" s="2">
        <f>IF(Identity!E14="","",Identity!E14)</f>
        <v/>
      </c>
      <c r="F15" s="2">
        <f>IF(Identity!F14="","",Identity!F14)</f>
        <v/>
      </c>
      <c r="G15" s="2">
        <f>IFERROR(INDEX(Creative!B:B,MATCH(Identity!A14,Creative!A:A,0)),"")</f>
        <v/>
      </c>
      <c r="H15" s="2">
        <f>IFERROR(INDEX(Creative!C:C,MATCH(Identity!A14,Creative!A:A,0)),"")</f>
        <v/>
      </c>
      <c r="I15" s="2">
        <f>IFERROR(INDEX(Creative!D:D,MATCH(Identity!A14,Creative!A:A,0)),"")</f>
        <v/>
      </c>
      <c r="J15" s="2">
        <f>IFERROR(INDEX(Creative!E:E,MATCH(Identity!A14,Creative!A:A,0)),"")</f>
        <v/>
      </c>
      <c r="K15" s="2">
        <f>IFERROR(INDEX(Creative!F:F,MATCH(Identity!A14,Creative!A:A,0)),"")</f>
        <v/>
      </c>
      <c r="L15" s="2">
        <f>IFERROR(INDEX(Creative!G:G,MATCH(Identity!A14,Creative!A:A,0)),"")</f>
        <v/>
      </c>
      <c r="M15" s="2">
        <f>IFERROR(INDEX(Creative!H:H,MATCH(Identity!A14,Creative!A:A,0)),"")</f>
        <v/>
      </c>
      <c r="N15" s="2">
        <f>IFERROR(INDEX(Creative!I:I,MATCH(Identity!A14,Creative!A:A,0)),"")</f>
        <v/>
      </c>
      <c r="O15" s="2">
        <f>IFERROR(INDEX(Creative!J:J,MATCH(Identity!A14,Creative!A:A,0)),"")</f>
        <v/>
      </c>
      <c r="P15" s="2">
        <f>IFERROR(INDEX(Creative!K:K,MATCH(Identity!A14,Creative!A:A,0)),"")</f>
        <v/>
      </c>
      <c r="Q15" s="2">
        <f>IFERROR(INDEX(Creative!L:L,MATCH(Identity!A14,Creative!A:A,0)),"")</f>
        <v/>
      </c>
      <c r="R15" s="2">
        <f>IFERROR(INDEX(Creative!M:M,MATCH(Identity!A14,Creative!A:A,0)),"")</f>
        <v/>
      </c>
      <c r="S15" s="2">
        <f>IFERROR(INDEX(Creative!N:N,MATCH(Identity!A14,Creative!A:A,0)),"")</f>
        <v/>
      </c>
      <c r="T15" s="2">
        <f>IFERROR(INDEX(Creative!O:O,MATCH(Identity!A14,Creative!A:A,0)),"")</f>
        <v/>
      </c>
      <c r="U15" s="2">
        <f>IFERROR(INDEX(Creative!P:P,MATCH(Identity!A14,Creative!A:A,0)),"")</f>
        <v/>
      </c>
      <c r="V15" s="2">
        <f>IFERROR(INDEX(Creative!Q:Q,MATCH(Identity!A14,Creative!A:A,0)),"")</f>
        <v/>
      </c>
      <c r="W15" s="2">
        <f>IFERROR(INDEX(Performance!B:B,MATCH(Identity!A14,Performance!A:A,0)),"")</f>
        <v/>
      </c>
      <c r="X15" s="2">
        <f>IFERROR(INDEX(Performance!C:C,MATCH(Identity!A14,Performance!A:A,0)),"")</f>
        <v/>
      </c>
      <c r="Y15" s="2">
        <f>IFERROR(INDEX(Performance!D:D,MATCH(Identity!A14,Performance!A:A,0)),"")</f>
        <v/>
      </c>
      <c r="Z15" s="2">
        <f>IFERROR(INDEX(Performance!E:E,MATCH(Identity!A14,Performance!A:A,0)),"")</f>
        <v/>
      </c>
      <c r="AA15" s="2">
        <f>IFERROR(INDEX(Performance!F:F,MATCH(Identity!A14,Performance!A:A,0)),"")</f>
        <v/>
      </c>
      <c r="AB15" s="2">
        <f>IFERROR(INDEX(Performance!G:G,MATCH(Identity!A14,Performance!A:A,0)),"")</f>
        <v/>
      </c>
      <c r="AC15" s="2">
        <f>IFERROR(INDEX(Performance!H:H,MATCH(Identity!A14,Performance!A:A,0)),"")</f>
        <v/>
      </c>
      <c r="AD15" s="2">
        <f>IFERROR(INDEX(Performance!I:I,MATCH(Identity!A14,Performance!A:A,0)),"")</f>
        <v/>
      </c>
      <c r="AE15" s="2">
        <f>IFERROR(INDEX(Conversion!B:B,MATCH(Identity!A14,Conversion!A:A,0)),"")</f>
        <v/>
      </c>
      <c r="AF15" s="2">
        <f>IFERROR(INDEX(Conversion!C:C,MATCH(Identity!A14,Conversion!A:A,0)),"")</f>
        <v/>
      </c>
      <c r="AG15" s="2">
        <f>IFERROR(INDEX(Conversion!D:D,MATCH(Identity!A14,Conversion!A:A,0)),"")</f>
        <v/>
      </c>
      <c r="AH15" s="2">
        <f>IFERROR(INDEX(Conversion!E:E,MATCH(Identity!A14,Conversion!A:A,0)),"")</f>
        <v/>
      </c>
      <c r="AI15" s="2">
        <f>IFERROR(INDEX(Conversion!F:F,MATCH(Identity!A14,Conversion!A:A,0)),"")</f>
        <v/>
      </c>
    </row>
    <row r="16">
      <c r="A16" s="2">
        <f>IF(Identity!A15="","",Identity!A15)</f>
        <v/>
      </c>
      <c r="B16" s="2">
        <f>IF(Identity!B15="","",Identity!B15)</f>
        <v/>
      </c>
      <c r="C16" s="2">
        <f>IF(Identity!C15="","",Identity!C15)</f>
        <v/>
      </c>
      <c r="D16" s="2">
        <f>IF(Identity!D15="","",Identity!D15)</f>
        <v/>
      </c>
      <c r="E16" s="2">
        <f>IF(Identity!E15="","",Identity!E15)</f>
        <v/>
      </c>
      <c r="F16" s="2">
        <f>IF(Identity!F15="","",Identity!F15)</f>
        <v/>
      </c>
      <c r="G16" s="2">
        <f>IFERROR(INDEX(Creative!B:B,MATCH(Identity!A15,Creative!A:A,0)),"")</f>
        <v/>
      </c>
      <c r="H16" s="2">
        <f>IFERROR(INDEX(Creative!C:C,MATCH(Identity!A15,Creative!A:A,0)),"")</f>
        <v/>
      </c>
      <c r="I16" s="2">
        <f>IFERROR(INDEX(Creative!D:D,MATCH(Identity!A15,Creative!A:A,0)),"")</f>
        <v/>
      </c>
      <c r="J16" s="2">
        <f>IFERROR(INDEX(Creative!E:E,MATCH(Identity!A15,Creative!A:A,0)),"")</f>
        <v/>
      </c>
      <c r="K16" s="2">
        <f>IFERROR(INDEX(Creative!F:F,MATCH(Identity!A15,Creative!A:A,0)),"")</f>
        <v/>
      </c>
      <c r="L16" s="2">
        <f>IFERROR(INDEX(Creative!G:G,MATCH(Identity!A15,Creative!A:A,0)),"")</f>
        <v/>
      </c>
      <c r="M16" s="2">
        <f>IFERROR(INDEX(Creative!H:H,MATCH(Identity!A15,Creative!A:A,0)),"")</f>
        <v/>
      </c>
      <c r="N16" s="2">
        <f>IFERROR(INDEX(Creative!I:I,MATCH(Identity!A15,Creative!A:A,0)),"")</f>
        <v/>
      </c>
      <c r="O16" s="2">
        <f>IFERROR(INDEX(Creative!J:J,MATCH(Identity!A15,Creative!A:A,0)),"")</f>
        <v/>
      </c>
      <c r="P16" s="2">
        <f>IFERROR(INDEX(Creative!K:K,MATCH(Identity!A15,Creative!A:A,0)),"")</f>
        <v/>
      </c>
      <c r="Q16" s="2">
        <f>IFERROR(INDEX(Creative!L:L,MATCH(Identity!A15,Creative!A:A,0)),"")</f>
        <v/>
      </c>
      <c r="R16" s="2">
        <f>IFERROR(INDEX(Creative!M:M,MATCH(Identity!A15,Creative!A:A,0)),"")</f>
        <v/>
      </c>
      <c r="S16" s="2">
        <f>IFERROR(INDEX(Creative!N:N,MATCH(Identity!A15,Creative!A:A,0)),"")</f>
        <v/>
      </c>
      <c r="T16" s="2">
        <f>IFERROR(INDEX(Creative!O:O,MATCH(Identity!A15,Creative!A:A,0)),"")</f>
        <v/>
      </c>
      <c r="U16" s="2">
        <f>IFERROR(INDEX(Creative!P:P,MATCH(Identity!A15,Creative!A:A,0)),"")</f>
        <v/>
      </c>
      <c r="V16" s="2">
        <f>IFERROR(INDEX(Creative!Q:Q,MATCH(Identity!A15,Creative!A:A,0)),"")</f>
        <v/>
      </c>
      <c r="W16" s="2">
        <f>IFERROR(INDEX(Performance!B:B,MATCH(Identity!A15,Performance!A:A,0)),"")</f>
        <v/>
      </c>
      <c r="X16" s="2">
        <f>IFERROR(INDEX(Performance!C:C,MATCH(Identity!A15,Performance!A:A,0)),"")</f>
        <v/>
      </c>
      <c r="Y16" s="2">
        <f>IFERROR(INDEX(Performance!D:D,MATCH(Identity!A15,Performance!A:A,0)),"")</f>
        <v/>
      </c>
      <c r="Z16" s="2">
        <f>IFERROR(INDEX(Performance!E:E,MATCH(Identity!A15,Performance!A:A,0)),"")</f>
        <v/>
      </c>
      <c r="AA16" s="2">
        <f>IFERROR(INDEX(Performance!F:F,MATCH(Identity!A15,Performance!A:A,0)),"")</f>
        <v/>
      </c>
      <c r="AB16" s="2">
        <f>IFERROR(INDEX(Performance!G:G,MATCH(Identity!A15,Performance!A:A,0)),"")</f>
        <v/>
      </c>
      <c r="AC16" s="2">
        <f>IFERROR(INDEX(Performance!H:H,MATCH(Identity!A15,Performance!A:A,0)),"")</f>
        <v/>
      </c>
      <c r="AD16" s="2">
        <f>IFERROR(INDEX(Performance!I:I,MATCH(Identity!A15,Performance!A:A,0)),"")</f>
        <v/>
      </c>
      <c r="AE16" s="2">
        <f>IFERROR(INDEX(Conversion!B:B,MATCH(Identity!A15,Conversion!A:A,0)),"")</f>
        <v/>
      </c>
      <c r="AF16" s="2">
        <f>IFERROR(INDEX(Conversion!C:C,MATCH(Identity!A15,Conversion!A:A,0)),"")</f>
        <v/>
      </c>
      <c r="AG16" s="2">
        <f>IFERROR(INDEX(Conversion!D:D,MATCH(Identity!A15,Conversion!A:A,0)),"")</f>
        <v/>
      </c>
      <c r="AH16" s="2">
        <f>IFERROR(INDEX(Conversion!E:E,MATCH(Identity!A15,Conversion!A:A,0)),"")</f>
        <v/>
      </c>
      <c r="AI16" s="2">
        <f>IFERROR(INDEX(Conversion!F:F,MATCH(Identity!A15,Conversion!A:A,0)),"")</f>
        <v/>
      </c>
    </row>
    <row r="17">
      <c r="A17" s="2">
        <f>IF(Identity!A16="","",Identity!A16)</f>
        <v/>
      </c>
      <c r="B17" s="2">
        <f>IF(Identity!B16="","",Identity!B16)</f>
        <v/>
      </c>
      <c r="C17" s="2">
        <f>IF(Identity!C16="","",Identity!C16)</f>
        <v/>
      </c>
      <c r="D17" s="2">
        <f>IF(Identity!D16="","",Identity!D16)</f>
        <v/>
      </c>
      <c r="E17" s="2">
        <f>IF(Identity!E16="","",Identity!E16)</f>
        <v/>
      </c>
      <c r="F17" s="2">
        <f>IF(Identity!F16="","",Identity!F16)</f>
        <v/>
      </c>
      <c r="G17" s="2">
        <f>IFERROR(INDEX(Creative!B:B,MATCH(Identity!A16,Creative!A:A,0)),"")</f>
        <v/>
      </c>
      <c r="H17" s="2">
        <f>IFERROR(INDEX(Creative!C:C,MATCH(Identity!A16,Creative!A:A,0)),"")</f>
        <v/>
      </c>
      <c r="I17" s="2">
        <f>IFERROR(INDEX(Creative!D:D,MATCH(Identity!A16,Creative!A:A,0)),"")</f>
        <v/>
      </c>
      <c r="J17" s="2">
        <f>IFERROR(INDEX(Creative!E:E,MATCH(Identity!A16,Creative!A:A,0)),"")</f>
        <v/>
      </c>
      <c r="K17" s="2">
        <f>IFERROR(INDEX(Creative!F:F,MATCH(Identity!A16,Creative!A:A,0)),"")</f>
        <v/>
      </c>
      <c r="L17" s="2">
        <f>IFERROR(INDEX(Creative!G:G,MATCH(Identity!A16,Creative!A:A,0)),"")</f>
        <v/>
      </c>
      <c r="M17" s="2">
        <f>IFERROR(INDEX(Creative!H:H,MATCH(Identity!A16,Creative!A:A,0)),"")</f>
        <v/>
      </c>
      <c r="N17" s="2">
        <f>IFERROR(INDEX(Creative!I:I,MATCH(Identity!A16,Creative!A:A,0)),"")</f>
        <v/>
      </c>
      <c r="O17" s="2">
        <f>IFERROR(INDEX(Creative!J:J,MATCH(Identity!A16,Creative!A:A,0)),"")</f>
        <v/>
      </c>
      <c r="P17" s="2">
        <f>IFERROR(INDEX(Creative!K:K,MATCH(Identity!A16,Creative!A:A,0)),"")</f>
        <v/>
      </c>
      <c r="Q17" s="2">
        <f>IFERROR(INDEX(Creative!L:L,MATCH(Identity!A16,Creative!A:A,0)),"")</f>
        <v/>
      </c>
      <c r="R17" s="2">
        <f>IFERROR(INDEX(Creative!M:M,MATCH(Identity!A16,Creative!A:A,0)),"")</f>
        <v/>
      </c>
      <c r="S17" s="2">
        <f>IFERROR(INDEX(Creative!N:N,MATCH(Identity!A16,Creative!A:A,0)),"")</f>
        <v/>
      </c>
      <c r="T17" s="2">
        <f>IFERROR(INDEX(Creative!O:O,MATCH(Identity!A16,Creative!A:A,0)),"")</f>
        <v/>
      </c>
      <c r="U17" s="2">
        <f>IFERROR(INDEX(Creative!P:P,MATCH(Identity!A16,Creative!A:A,0)),"")</f>
        <v/>
      </c>
      <c r="V17" s="2">
        <f>IFERROR(INDEX(Creative!Q:Q,MATCH(Identity!A16,Creative!A:A,0)),"")</f>
        <v/>
      </c>
      <c r="W17" s="2">
        <f>IFERROR(INDEX(Performance!B:B,MATCH(Identity!A16,Performance!A:A,0)),"")</f>
        <v/>
      </c>
      <c r="X17" s="2">
        <f>IFERROR(INDEX(Performance!C:C,MATCH(Identity!A16,Performance!A:A,0)),"")</f>
        <v/>
      </c>
      <c r="Y17" s="2">
        <f>IFERROR(INDEX(Performance!D:D,MATCH(Identity!A16,Performance!A:A,0)),"")</f>
        <v/>
      </c>
      <c r="Z17" s="2">
        <f>IFERROR(INDEX(Performance!E:E,MATCH(Identity!A16,Performance!A:A,0)),"")</f>
        <v/>
      </c>
      <c r="AA17" s="2">
        <f>IFERROR(INDEX(Performance!F:F,MATCH(Identity!A16,Performance!A:A,0)),"")</f>
        <v/>
      </c>
      <c r="AB17" s="2">
        <f>IFERROR(INDEX(Performance!G:G,MATCH(Identity!A16,Performance!A:A,0)),"")</f>
        <v/>
      </c>
      <c r="AC17" s="2">
        <f>IFERROR(INDEX(Performance!H:H,MATCH(Identity!A16,Performance!A:A,0)),"")</f>
        <v/>
      </c>
      <c r="AD17" s="2">
        <f>IFERROR(INDEX(Performance!I:I,MATCH(Identity!A16,Performance!A:A,0)),"")</f>
        <v/>
      </c>
      <c r="AE17" s="2">
        <f>IFERROR(INDEX(Conversion!B:B,MATCH(Identity!A16,Conversion!A:A,0)),"")</f>
        <v/>
      </c>
      <c r="AF17" s="2">
        <f>IFERROR(INDEX(Conversion!C:C,MATCH(Identity!A16,Conversion!A:A,0)),"")</f>
        <v/>
      </c>
      <c r="AG17" s="2">
        <f>IFERROR(INDEX(Conversion!D:D,MATCH(Identity!A16,Conversion!A:A,0)),"")</f>
        <v/>
      </c>
      <c r="AH17" s="2">
        <f>IFERROR(INDEX(Conversion!E:E,MATCH(Identity!A16,Conversion!A:A,0)),"")</f>
        <v/>
      </c>
      <c r="AI17" s="2">
        <f>IFERROR(INDEX(Conversion!F:F,MATCH(Identity!A16,Conversion!A:A,0)),"")</f>
        <v/>
      </c>
    </row>
    <row r="18">
      <c r="A18" s="2">
        <f>IF(Identity!A17="","",Identity!A17)</f>
        <v/>
      </c>
      <c r="B18" s="2">
        <f>IF(Identity!B17="","",Identity!B17)</f>
        <v/>
      </c>
      <c r="C18" s="2">
        <f>IF(Identity!C17="","",Identity!C17)</f>
        <v/>
      </c>
      <c r="D18" s="2">
        <f>IF(Identity!D17="","",Identity!D17)</f>
        <v/>
      </c>
      <c r="E18" s="2">
        <f>IF(Identity!E17="","",Identity!E17)</f>
        <v/>
      </c>
      <c r="F18" s="2">
        <f>IF(Identity!F17="","",Identity!F17)</f>
        <v/>
      </c>
      <c r="G18" s="2">
        <f>IFERROR(INDEX(Creative!B:B,MATCH(Identity!A17,Creative!A:A,0)),"")</f>
        <v/>
      </c>
      <c r="H18" s="2">
        <f>IFERROR(INDEX(Creative!C:C,MATCH(Identity!A17,Creative!A:A,0)),"")</f>
        <v/>
      </c>
      <c r="I18" s="2">
        <f>IFERROR(INDEX(Creative!D:D,MATCH(Identity!A17,Creative!A:A,0)),"")</f>
        <v/>
      </c>
      <c r="J18" s="2">
        <f>IFERROR(INDEX(Creative!E:E,MATCH(Identity!A17,Creative!A:A,0)),"")</f>
        <v/>
      </c>
      <c r="K18" s="2">
        <f>IFERROR(INDEX(Creative!F:F,MATCH(Identity!A17,Creative!A:A,0)),"")</f>
        <v/>
      </c>
      <c r="L18" s="2">
        <f>IFERROR(INDEX(Creative!G:G,MATCH(Identity!A17,Creative!A:A,0)),"")</f>
        <v/>
      </c>
      <c r="M18" s="2">
        <f>IFERROR(INDEX(Creative!H:H,MATCH(Identity!A17,Creative!A:A,0)),"")</f>
        <v/>
      </c>
      <c r="N18" s="2">
        <f>IFERROR(INDEX(Creative!I:I,MATCH(Identity!A17,Creative!A:A,0)),"")</f>
        <v/>
      </c>
      <c r="O18" s="2">
        <f>IFERROR(INDEX(Creative!J:J,MATCH(Identity!A17,Creative!A:A,0)),"")</f>
        <v/>
      </c>
      <c r="P18" s="2">
        <f>IFERROR(INDEX(Creative!K:K,MATCH(Identity!A17,Creative!A:A,0)),"")</f>
        <v/>
      </c>
      <c r="Q18" s="2">
        <f>IFERROR(INDEX(Creative!L:L,MATCH(Identity!A17,Creative!A:A,0)),"")</f>
        <v/>
      </c>
      <c r="R18" s="2">
        <f>IFERROR(INDEX(Creative!M:M,MATCH(Identity!A17,Creative!A:A,0)),"")</f>
        <v/>
      </c>
      <c r="S18" s="2">
        <f>IFERROR(INDEX(Creative!N:N,MATCH(Identity!A17,Creative!A:A,0)),"")</f>
        <v/>
      </c>
      <c r="T18" s="2">
        <f>IFERROR(INDEX(Creative!O:O,MATCH(Identity!A17,Creative!A:A,0)),"")</f>
        <v/>
      </c>
      <c r="U18" s="2">
        <f>IFERROR(INDEX(Creative!P:P,MATCH(Identity!A17,Creative!A:A,0)),"")</f>
        <v/>
      </c>
      <c r="V18" s="2">
        <f>IFERROR(INDEX(Creative!Q:Q,MATCH(Identity!A17,Creative!A:A,0)),"")</f>
        <v/>
      </c>
      <c r="W18" s="2">
        <f>IFERROR(INDEX(Performance!B:B,MATCH(Identity!A17,Performance!A:A,0)),"")</f>
        <v/>
      </c>
      <c r="X18" s="2">
        <f>IFERROR(INDEX(Performance!C:C,MATCH(Identity!A17,Performance!A:A,0)),"")</f>
        <v/>
      </c>
      <c r="Y18" s="2">
        <f>IFERROR(INDEX(Performance!D:D,MATCH(Identity!A17,Performance!A:A,0)),"")</f>
        <v/>
      </c>
      <c r="Z18" s="2">
        <f>IFERROR(INDEX(Performance!E:E,MATCH(Identity!A17,Performance!A:A,0)),"")</f>
        <v/>
      </c>
      <c r="AA18" s="2">
        <f>IFERROR(INDEX(Performance!F:F,MATCH(Identity!A17,Performance!A:A,0)),"")</f>
        <v/>
      </c>
      <c r="AB18" s="2">
        <f>IFERROR(INDEX(Performance!G:G,MATCH(Identity!A17,Performance!A:A,0)),"")</f>
        <v/>
      </c>
      <c r="AC18" s="2">
        <f>IFERROR(INDEX(Performance!H:H,MATCH(Identity!A17,Performance!A:A,0)),"")</f>
        <v/>
      </c>
      <c r="AD18" s="2">
        <f>IFERROR(INDEX(Performance!I:I,MATCH(Identity!A17,Performance!A:A,0)),"")</f>
        <v/>
      </c>
      <c r="AE18" s="2">
        <f>IFERROR(INDEX(Conversion!B:B,MATCH(Identity!A17,Conversion!A:A,0)),"")</f>
        <v/>
      </c>
      <c r="AF18" s="2">
        <f>IFERROR(INDEX(Conversion!C:C,MATCH(Identity!A17,Conversion!A:A,0)),"")</f>
        <v/>
      </c>
      <c r="AG18" s="2">
        <f>IFERROR(INDEX(Conversion!D:D,MATCH(Identity!A17,Conversion!A:A,0)),"")</f>
        <v/>
      </c>
      <c r="AH18" s="2">
        <f>IFERROR(INDEX(Conversion!E:E,MATCH(Identity!A17,Conversion!A:A,0)),"")</f>
        <v/>
      </c>
      <c r="AI18" s="2">
        <f>IFERROR(INDEX(Conversion!F:F,MATCH(Identity!A17,Conversion!A:A,0)),"")</f>
        <v/>
      </c>
    </row>
    <row r="19">
      <c r="A19" s="2">
        <f>IF(Identity!A18="","",Identity!A18)</f>
        <v/>
      </c>
      <c r="B19" s="2">
        <f>IF(Identity!B18="","",Identity!B18)</f>
        <v/>
      </c>
      <c r="C19" s="2">
        <f>IF(Identity!C18="","",Identity!C18)</f>
        <v/>
      </c>
      <c r="D19" s="2">
        <f>IF(Identity!D18="","",Identity!D18)</f>
        <v/>
      </c>
      <c r="E19" s="2">
        <f>IF(Identity!E18="","",Identity!E18)</f>
        <v/>
      </c>
      <c r="F19" s="2">
        <f>IF(Identity!F18="","",Identity!F18)</f>
        <v/>
      </c>
      <c r="G19" s="2">
        <f>IFERROR(INDEX(Creative!B:B,MATCH(Identity!A18,Creative!A:A,0)),"")</f>
        <v/>
      </c>
      <c r="H19" s="2">
        <f>IFERROR(INDEX(Creative!C:C,MATCH(Identity!A18,Creative!A:A,0)),"")</f>
        <v/>
      </c>
      <c r="I19" s="2">
        <f>IFERROR(INDEX(Creative!D:D,MATCH(Identity!A18,Creative!A:A,0)),"")</f>
        <v/>
      </c>
      <c r="J19" s="2">
        <f>IFERROR(INDEX(Creative!E:E,MATCH(Identity!A18,Creative!A:A,0)),"")</f>
        <v/>
      </c>
      <c r="K19" s="2">
        <f>IFERROR(INDEX(Creative!F:F,MATCH(Identity!A18,Creative!A:A,0)),"")</f>
        <v/>
      </c>
      <c r="L19" s="2">
        <f>IFERROR(INDEX(Creative!G:G,MATCH(Identity!A18,Creative!A:A,0)),"")</f>
        <v/>
      </c>
      <c r="M19" s="2">
        <f>IFERROR(INDEX(Creative!H:H,MATCH(Identity!A18,Creative!A:A,0)),"")</f>
        <v/>
      </c>
      <c r="N19" s="2">
        <f>IFERROR(INDEX(Creative!I:I,MATCH(Identity!A18,Creative!A:A,0)),"")</f>
        <v/>
      </c>
      <c r="O19" s="2">
        <f>IFERROR(INDEX(Creative!J:J,MATCH(Identity!A18,Creative!A:A,0)),"")</f>
        <v/>
      </c>
      <c r="P19" s="2">
        <f>IFERROR(INDEX(Creative!K:K,MATCH(Identity!A18,Creative!A:A,0)),"")</f>
        <v/>
      </c>
      <c r="Q19" s="2">
        <f>IFERROR(INDEX(Creative!L:L,MATCH(Identity!A18,Creative!A:A,0)),"")</f>
        <v/>
      </c>
      <c r="R19" s="2">
        <f>IFERROR(INDEX(Creative!M:M,MATCH(Identity!A18,Creative!A:A,0)),"")</f>
        <v/>
      </c>
      <c r="S19" s="2">
        <f>IFERROR(INDEX(Creative!N:N,MATCH(Identity!A18,Creative!A:A,0)),"")</f>
        <v/>
      </c>
      <c r="T19" s="2">
        <f>IFERROR(INDEX(Creative!O:O,MATCH(Identity!A18,Creative!A:A,0)),"")</f>
        <v/>
      </c>
      <c r="U19" s="2">
        <f>IFERROR(INDEX(Creative!P:P,MATCH(Identity!A18,Creative!A:A,0)),"")</f>
        <v/>
      </c>
      <c r="V19" s="2">
        <f>IFERROR(INDEX(Creative!Q:Q,MATCH(Identity!A18,Creative!A:A,0)),"")</f>
        <v/>
      </c>
      <c r="W19" s="2">
        <f>IFERROR(INDEX(Performance!B:B,MATCH(Identity!A18,Performance!A:A,0)),"")</f>
        <v/>
      </c>
      <c r="X19" s="2">
        <f>IFERROR(INDEX(Performance!C:C,MATCH(Identity!A18,Performance!A:A,0)),"")</f>
        <v/>
      </c>
      <c r="Y19" s="2">
        <f>IFERROR(INDEX(Performance!D:D,MATCH(Identity!A18,Performance!A:A,0)),"")</f>
        <v/>
      </c>
      <c r="Z19" s="2">
        <f>IFERROR(INDEX(Performance!E:E,MATCH(Identity!A18,Performance!A:A,0)),"")</f>
        <v/>
      </c>
      <c r="AA19" s="2">
        <f>IFERROR(INDEX(Performance!F:F,MATCH(Identity!A18,Performance!A:A,0)),"")</f>
        <v/>
      </c>
      <c r="AB19" s="2">
        <f>IFERROR(INDEX(Performance!G:G,MATCH(Identity!A18,Performance!A:A,0)),"")</f>
        <v/>
      </c>
      <c r="AC19" s="2">
        <f>IFERROR(INDEX(Performance!H:H,MATCH(Identity!A18,Performance!A:A,0)),"")</f>
        <v/>
      </c>
      <c r="AD19" s="2">
        <f>IFERROR(INDEX(Performance!I:I,MATCH(Identity!A18,Performance!A:A,0)),"")</f>
        <v/>
      </c>
      <c r="AE19" s="2">
        <f>IFERROR(INDEX(Conversion!B:B,MATCH(Identity!A18,Conversion!A:A,0)),"")</f>
        <v/>
      </c>
      <c r="AF19" s="2">
        <f>IFERROR(INDEX(Conversion!C:C,MATCH(Identity!A18,Conversion!A:A,0)),"")</f>
        <v/>
      </c>
      <c r="AG19" s="2">
        <f>IFERROR(INDEX(Conversion!D:D,MATCH(Identity!A18,Conversion!A:A,0)),"")</f>
        <v/>
      </c>
      <c r="AH19" s="2">
        <f>IFERROR(INDEX(Conversion!E:E,MATCH(Identity!A18,Conversion!A:A,0)),"")</f>
        <v/>
      </c>
      <c r="AI19" s="2">
        <f>IFERROR(INDEX(Conversion!F:F,MATCH(Identity!A18,Conversion!A:A,0)),"")</f>
        <v/>
      </c>
    </row>
    <row r="20">
      <c r="A20" s="2">
        <f>IF(Identity!A19="","",Identity!A19)</f>
        <v/>
      </c>
      <c r="B20" s="2">
        <f>IF(Identity!B19="","",Identity!B19)</f>
        <v/>
      </c>
      <c r="C20" s="2">
        <f>IF(Identity!C19="","",Identity!C19)</f>
        <v/>
      </c>
      <c r="D20" s="2">
        <f>IF(Identity!D19="","",Identity!D19)</f>
        <v/>
      </c>
      <c r="E20" s="2">
        <f>IF(Identity!E19="","",Identity!E19)</f>
        <v/>
      </c>
      <c r="F20" s="2">
        <f>IF(Identity!F19="","",Identity!F19)</f>
        <v/>
      </c>
      <c r="G20" s="2">
        <f>IFERROR(INDEX(Creative!B:B,MATCH(Identity!A19,Creative!A:A,0)),"")</f>
        <v/>
      </c>
      <c r="H20" s="2">
        <f>IFERROR(INDEX(Creative!C:C,MATCH(Identity!A19,Creative!A:A,0)),"")</f>
        <v/>
      </c>
      <c r="I20" s="2">
        <f>IFERROR(INDEX(Creative!D:D,MATCH(Identity!A19,Creative!A:A,0)),"")</f>
        <v/>
      </c>
      <c r="J20" s="2">
        <f>IFERROR(INDEX(Creative!E:E,MATCH(Identity!A19,Creative!A:A,0)),"")</f>
        <v/>
      </c>
      <c r="K20" s="2">
        <f>IFERROR(INDEX(Creative!F:F,MATCH(Identity!A19,Creative!A:A,0)),"")</f>
        <v/>
      </c>
      <c r="L20" s="2">
        <f>IFERROR(INDEX(Creative!G:G,MATCH(Identity!A19,Creative!A:A,0)),"")</f>
        <v/>
      </c>
      <c r="M20" s="2">
        <f>IFERROR(INDEX(Creative!H:H,MATCH(Identity!A19,Creative!A:A,0)),"")</f>
        <v/>
      </c>
      <c r="N20" s="2">
        <f>IFERROR(INDEX(Creative!I:I,MATCH(Identity!A19,Creative!A:A,0)),"")</f>
        <v/>
      </c>
      <c r="O20" s="2">
        <f>IFERROR(INDEX(Creative!J:J,MATCH(Identity!A19,Creative!A:A,0)),"")</f>
        <v/>
      </c>
      <c r="P20" s="2">
        <f>IFERROR(INDEX(Creative!K:K,MATCH(Identity!A19,Creative!A:A,0)),"")</f>
        <v/>
      </c>
      <c r="Q20" s="2">
        <f>IFERROR(INDEX(Creative!L:L,MATCH(Identity!A19,Creative!A:A,0)),"")</f>
        <v/>
      </c>
      <c r="R20" s="2">
        <f>IFERROR(INDEX(Creative!M:M,MATCH(Identity!A19,Creative!A:A,0)),"")</f>
        <v/>
      </c>
      <c r="S20" s="2">
        <f>IFERROR(INDEX(Creative!N:N,MATCH(Identity!A19,Creative!A:A,0)),"")</f>
        <v/>
      </c>
      <c r="T20" s="2">
        <f>IFERROR(INDEX(Creative!O:O,MATCH(Identity!A19,Creative!A:A,0)),"")</f>
        <v/>
      </c>
      <c r="U20" s="2">
        <f>IFERROR(INDEX(Creative!P:P,MATCH(Identity!A19,Creative!A:A,0)),"")</f>
        <v/>
      </c>
      <c r="V20" s="2">
        <f>IFERROR(INDEX(Creative!Q:Q,MATCH(Identity!A19,Creative!A:A,0)),"")</f>
        <v/>
      </c>
      <c r="W20" s="2">
        <f>IFERROR(INDEX(Performance!B:B,MATCH(Identity!A19,Performance!A:A,0)),"")</f>
        <v/>
      </c>
      <c r="X20" s="2">
        <f>IFERROR(INDEX(Performance!C:C,MATCH(Identity!A19,Performance!A:A,0)),"")</f>
        <v/>
      </c>
      <c r="Y20" s="2">
        <f>IFERROR(INDEX(Performance!D:D,MATCH(Identity!A19,Performance!A:A,0)),"")</f>
        <v/>
      </c>
      <c r="Z20" s="2">
        <f>IFERROR(INDEX(Performance!E:E,MATCH(Identity!A19,Performance!A:A,0)),"")</f>
        <v/>
      </c>
      <c r="AA20" s="2">
        <f>IFERROR(INDEX(Performance!F:F,MATCH(Identity!A19,Performance!A:A,0)),"")</f>
        <v/>
      </c>
      <c r="AB20" s="2">
        <f>IFERROR(INDEX(Performance!G:G,MATCH(Identity!A19,Performance!A:A,0)),"")</f>
        <v/>
      </c>
      <c r="AC20" s="2">
        <f>IFERROR(INDEX(Performance!H:H,MATCH(Identity!A19,Performance!A:A,0)),"")</f>
        <v/>
      </c>
      <c r="AD20" s="2">
        <f>IFERROR(INDEX(Performance!I:I,MATCH(Identity!A19,Performance!A:A,0)),"")</f>
        <v/>
      </c>
      <c r="AE20" s="2">
        <f>IFERROR(INDEX(Conversion!B:B,MATCH(Identity!A19,Conversion!A:A,0)),"")</f>
        <v/>
      </c>
      <c r="AF20" s="2">
        <f>IFERROR(INDEX(Conversion!C:C,MATCH(Identity!A19,Conversion!A:A,0)),"")</f>
        <v/>
      </c>
      <c r="AG20" s="2">
        <f>IFERROR(INDEX(Conversion!D:D,MATCH(Identity!A19,Conversion!A:A,0)),"")</f>
        <v/>
      </c>
      <c r="AH20" s="2">
        <f>IFERROR(INDEX(Conversion!E:E,MATCH(Identity!A19,Conversion!A:A,0)),"")</f>
        <v/>
      </c>
      <c r="AI20" s="2">
        <f>IFERROR(INDEX(Conversion!F:F,MATCH(Identity!A19,Conversion!A:A,0)),"")</f>
        <v/>
      </c>
    </row>
    <row r="21">
      <c r="A21" s="2">
        <f>IF(Identity!A20="","",Identity!A20)</f>
        <v/>
      </c>
      <c r="B21" s="2">
        <f>IF(Identity!B20="","",Identity!B20)</f>
        <v/>
      </c>
      <c r="C21" s="2">
        <f>IF(Identity!C20="","",Identity!C20)</f>
        <v/>
      </c>
      <c r="D21" s="2">
        <f>IF(Identity!D20="","",Identity!D20)</f>
        <v/>
      </c>
      <c r="E21" s="2">
        <f>IF(Identity!E20="","",Identity!E20)</f>
        <v/>
      </c>
      <c r="F21" s="2">
        <f>IF(Identity!F20="","",Identity!F20)</f>
        <v/>
      </c>
      <c r="G21" s="2">
        <f>IFERROR(INDEX(Creative!B:B,MATCH(Identity!A20,Creative!A:A,0)),"")</f>
        <v/>
      </c>
      <c r="H21" s="2">
        <f>IFERROR(INDEX(Creative!C:C,MATCH(Identity!A20,Creative!A:A,0)),"")</f>
        <v/>
      </c>
      <c r="I21" s="2">
        <f>IFERROR(INDEX(Creative!D:D,MATCH(Identity!A20,Creative!A:A,0)),"")</f>
        <v/>
      </c>
      <c r="J21" s="2">
        <f>IFERROR(INDEX(Creative!E:E,MATCH(Identity!A20,Creative!A:A,0)),"")</f>
        <v/>
      </c>
      <c r="K21" s="2">
        <f>IFERROR(INDEX(Creative!F:F,MATCH(Identity!A20,Creative!A:A,0)),"")</f>
        <v/>
      </c>
      <c r="L21" s="2">
        <f>IFERROR(INDEX(Creative!G:G,MATCH(Identity!A20,Creative!A:A,0)),"")</f>
        <v/>
      </c>
      <c r="M21" s="2">
        <f>IFERROR(INDEX(Creative!H:H,MATCH(Identity!A20,Creative!A:A,0)),"")</f>
        <v/>
      </c>
      <c r="N21" s="2">
        <f>IFERROR(INDEX(Creative!I:I,MATCH(Identity!A20,Creative!A:A,0)),"")</f>
        <v/>
      </c>
      <c r="O21" s="2">
        <f>IFERROR(INDEX(Creative!J:J,MATCH(Identity!A20,Creative!A:A,0)),"")</f>
        <v/>
      </c>
      <c r="P21" s="2">
        <f>IFERROR(INDEX(Creative!K:K,MATCH(Identity!A20,Creative!A:A,0)),"")</f>
        <v/>
      </c>
      <c r="Q21" s="2">
        <f>IFERROR(INDEX(Creative!L:L,MATCH(Identity!A20,Creative!A:A,0)),"")</f>
        <v/>
      </c>
      <c r="R21" s="2">
        <f>IFERROR(INDEX(Creative!M:M,MATCH(Identity!A20,Creative!A:A,0)),"")</f>
        <v/>
      </c>
      <c r="S21" s="2">
        <f>IFERROR(INDEX(Creative!N:N,MATCH(Identity!A20,Creative!A:A,0)),"")</f>
        <v/>
      </c>
      <c r="T21" s="2">
        <f>IFERROR(INDEX(Creative!O:O,MATCH(Identity!A20,Creative!A:A,0)),"")</f>
        <v/>
      </c>
      <c r="U21" s="2">
        <f>IFERROR(INDEX(Creative!P:P,MATCH(Identity!A20,Creative!A:A,0)),"")</f>
        <v/>
      </c>
      <c r="V21" s="2">
        <f>IFERROR(INDEX(Creative!Q:Q,MATCH(Identity!A20,Creative!A:A,0)),"")</f>
        <v/>
      </c>
      <c r="W21" s="2">
        <f>IFERROR(INDEX(Performance!B:B,MATCH(Identity!A20,Performance!A:A,0)),"")</f>
        <v/>
      </c>
      <c r="X21" s="2">
        <f>IFERROR(INDEX(Performance!C:C,MATCH(Identity!A20,Performance!A:A,0)),"")</f>
        <v/>
      </c>
      <c r="Y21" s="2">
        <f>IFERROR(INDEX(Performance!D:D,MATCH(Identity!A20,Performance!A:A,0)),"")</f>
        <v/>
      </c>
      <c r="Z21" s="2">
        <f>IFERROR(INDEX(Performance!E:E,MATCH(Identity!A20,Performance!A:A,0)),"")</f>
        <v/>
      </c>
      <c r="AA21" s="2">
        <f>IFERROR(INDEX(Performance!F:F,MATCH(Identity!A20,Performance!A:A,0)),"")</f>
        <v/>
      </c>
      <c r="AB21" s="2">
        <f>IFERROR(INDEX(Performance!G:G,MATCH(Identity!A20,Performance!A:A,0)),"")</f>
        <v/>
      </c>
      <c r="AC21" s="2">
        <f>IFERROR(INDEX(Performance!H:H,MATCH(Identity!A20,Performance!A:A,0)),"")</f>
        <v/>
      </c>
      <c r="AD21" s="2">
        <f>IFERROR(INDEX(Performance!I:I,MATCH(Identity!A20,Performance!A:A,0)),"")</f>
        <v/>
      </c>
      <c r="AE21" s="2">
        <f>IFERROR(INDEX(Conversion!B:B,MATCH(Identity!A20,Conversion!A:A,0)),"")</f>
        <v/>
      </c>
      <c r="AF21" s="2">
        <f>IFERROR(INDEX(Conversion!C:C,MATCH(Identity!A20,Conversion!A:A,0)),"")</f>
        <v/>
      </c>
      <c r="AG21" s="2">
        <f>IFERROR(INDEX(Conversion!D:D,MATCH(Identity!A20,Conversion!A:A,0)),"")</f>
        <v/>
      </c>
      <c r="AH21" s="2">
        <f>IFERROR(INDEX(Conversion!E:E,MATCH(Identity!A20,Conversion!A:A,0)),"")</f>
        <v/>
      </c>
      <c r="AI21" s="2">
        <f>IFERROR(INDEX(Conversion!F:F,MATCH(Identity!A20,Conversion!A:A,0)),"")</f>
        <v/>
      </c>
    </row>
    <row r="22">
      <c r="A22" s="2">
        <f>IF(Identity!A21="","",Identity!A21)</f>
        <v/>
      </c>
      <c r="B22" s="2">
        <f>IF(Identity!B21="","",Identity!B21)</f>
        <v/>
      </c>
      <c r="C22" s="2">
        <f>IF(Identity!C21="","",Identity!C21)</f>
        <v/>
      </c>
      <c r="D22" s="2">
        <f>IF(Identity!D21="","",Identity!D21)</f>
        <v/>
      </c>
      <c r="E22" s="2">
        <f>IF(Identity!E21="","",Identity!E21)</f>
        <v/>
      </c>
      <c r="F22" s="2">
        <f>IF(Identity!F21="","",Identity!F21)</f>
        <v/>
      </c>
      <c r="G22" s="2">
        <f>IFERROR(INDEX(Creative!B:B,MATCH(Identity!A21,Creative!A:A,0)),"")</f>
        <v/>
      </c>
      <c r="H22" s="2">
        <f>IFERROR(INDEX(Creative!C:C,MATCH(Identity!A21,Creative!A:A,0)),"")</f>
        <v/>
      </c>
      <c r="I22" s="2">
        <f>IFERROR(INDEX(Creative!D:D,MATCH(Identity!A21,Creative!A:A,0)),"")</f>
        <v/>
      </c>
      <c r="J22" s="2">
        <f>IFERROR(INDEX(Creative!E:E,MATCH(Identity!A21,Creative!A:A,0)),"")</f>
        <v/>
      </c>
      <c r="K22" s="2">
        <f>IFERROR(INDEX(Creative!F:F,MATCH(Identity!A21,Creative!A:A,0)),"")</f>
        <v/>
      </c>
      <c r="L22" s="2">
        <f>IFERROR(INDEX(Creative!G:G,MATCH(Identity!A21,Creative!A:A,0)),"")</f>
        <v/>
      </c>
      <c r="M22" s="2">
        <f>IFERROR(INDEX(Creative!H:H,MATCH(Identity!A21,Creative!A:A,0)),"")</f>
        <v/>
      </c>
      <c r="N22" s="2">
        <f>IFERROR(INDEX(Creative!I:I,MATCH(Identity!A21,Creative!A:A,0)),"")</f>
        <v/>
      </c>
      <c r="O22" s="2">
        <f>IFERROR(INDEX(Creative!J:J,MATCH(Identity!A21,Creative!A:A,0)),"")</f>
        <v/>
      </c>
      <c r="P22" s="2">
        <f>IFERROR(INDEX(Creative!K:K,MATCH(Identity!A21,Creative!A:A,0)),"")</f>
        <v/>
      </c>
      <c r="Q22" s="2">
        <f>IFERROR(INDEX(Creative!L:L,MATCH(Identity!A21,Creative!A:A,0)),"")</f>
        <v/>
      </c>
      <c r="R22" s="2">
        <f>IFERROR(INDEX(Creative!M:M,MATCH(Identity!A21,Creative!A:A,0)),"")</f>
        <v/>
      </c>
      <c r="S22" s="2">
        <f>IFERROR(INDEX(Creative!N:N,MATCH(Identity!A21,Creative!A:A,0)),"")</f>
        <v/>
      </c>
      <c r="T22" s="2">
        <f>IFERROR(INDEX(Creative!O:O,MATCH(Identity!A21,Creative!A:A,0)),"")</f>
        <v/>
      </c>
      <c r="U22" s="2">
        <f>IFERROR(INDEX(Creative!P:P,MATCH(Identity!A21,Creative!A:A,0)),"")</f>
        <v/>
      </c>
      <c r="V22" s="2">
        <f>IFERROR(INDEX(Creative!Q:Q,MATCH(Identity!A21,Creative!A:A,0)),"")</f>
        <v/>
      </c>
      <c r="W22" s="2">
        <f>IFERROR(INDEX(Performance!B:B,MATCH(Identity!A21,Performance!A:A,0)),"")</f>
        <v/>
      </c>
      <c r="X22" s="2">
        <f>IFERROR(INDEX(Performance!C:C,MATCH(Identity!A21,Performance!A:A,0)),"")</f>
        <v/>
      </c>
      <c r="Y22" s="2">
        <f>IFERROR(INDEX(Performance!D:D,MATCH(Identity!A21,Performance!A:A,0)),"")</f>
        <v/>
      </c>
      <c r="Z22" s="2">
        <f>IFERROR(INDEX(Performance!E:E,MATCH(Identity!A21,Performance!A:A,0)),"")</f>
        <v/>
      </c>
      <c r="AA22" s="2">
        <f>IFERROR(INDEX(Performance!F:F,MATCH(Identity!A21,Performance!A:A,0)),"")</f>
        <v/>
      </c>
      <c r="AB22" s="2">
        <f>IFERROR(INDEX(Performance!G:G,MATCH(Identity!A21,Performance!A:A,0)),"")</f>
        <v/>
      </c>
      <c r="AC22" s="2">
        <f>IFERROR(INDEX(Performance!H:H,MATCH(Identity!A21,Performance!A:A,0)),"")</f>
        <v/>
      </c>
      <c r="AD22" s="2">
        <f>IFERROR(INDEX(Performance!I:I,MATCH(Identity!A21,Performance!A:A,0)),"")</f>
        <v/>
      </c>
      <c r="AE22" s="2">
        <f>IFERROR(INDEX(Conversion!B:B,MATCH(Identity!A21,Conversion!A:A,0)),"")</f>
        <v/>
      </c>
      <c r="AF22" s="2">
        <f>IFERROR(INDEX(Conversion!C:C,MATCH(Identity!A21,Conversion!A:A,0)),"")</f>
        <v/>
      </c>
      <c r="AG22" s="2">
        <f>IFERROR(INDEX(Conversion!D:D,MATCH(Identity!A21,Conversion!A:A,0)),"")</f>
        <v/>
      </c>
      <c r="AH22" s="2">
        <f>IFERROR(INDEX(Conversion!E:E,MATCH(Identity!A21,Conversion!A:A,0)),"")</f>
        <v/>
      </c>
      <c r="AI22" s="2">
        <f>IFERROR(INDEX(Conversion!F:F,MATCH(Identity!A21,Conversion!A:A,0)),"")</f>
        <v/>
      </c>
    </row>
    <row r="23">
      <c r="A23" s="2">
        <f>IF(Identity!A22="","",Identity!A22)</f>
        <v/>
      </c>
      <c r="B23" s="2">
        <f>IF(Identity!B22="","",Identity!B22)</f>
        <v/>
      </c>
      <c r="C23" s="2">
        <f>IF(Identity!C22="","",Identity!C22)</f>
        <v/>
      </c>
      <c r="D23" s="2">
        <f>IF(Identity!D22="","",Identity!D22)</f>
        <v/>
      </c>
      <c r="E23" s="2">
        <f>IF(Identity!E22="","",Identity!E22)</f>
        <v/>
      </c>
      <c r="F23" s="2">
        <f>IF(Identity!F22="","",Identity!F22)</f>
        <v/>
      </c>
      <c r="G23" s="2">
        <f>IFERROR(INDEX(Creative!B:B,MATCH(Identity!A22,Creative!A:A,0)),"")</f>
        <v/>
      </c>
      <c r="H23" s="2">
        <f>IFERROR(INDEX(Creative!C:C,MATCH(Identity!A22,Creative!A:A,0)),"")</f>
        <v/>
      </c>
      <c r="I23" s="2">
        <f>IFERROR(INDEX(Creative!D:D,MATCH(Identity!A22,Creative!A:A,0)),"")</f>
        <v/>
      </c>
      <c r="J23" s="2">
        <f>IFERROR(INDEX(Creative!E:E,MATCH(Identity!A22,Creative!A:A,0)),"")</f>
        <v/>
      </c>
      <c r="K23" s="2">
        <f>IFERROR(INDEX(Creative!F:F,MATCH(Identity!A22,Creative!A:A,0)),"")</f>
        <v/>
      </c>
      <c r="L23" s="2">
        <f>IFERROR(INDEX(Creative!G:G,MATCH(Identity!A22,Creative!A:A,0)),"")</f>
        <v/>
      </c>
      <c r="M23" s="2">
        <f>IFERROR(INDEX(Creative!H:H,MATCH(Identity!A22,Creative!A:A,0)),"")</f>
        <v/>
      </c>
      <c r="N23" s="2">
        <f>IFERROR(INDEX(Creative!I:I,MATCH(Identity!A22,Creative!A:A,0)),"")</f>
        <v/>
      </c>
      <c r="O23" s="2">
        <f>IFERROR(INDEX(Creative!J:J,MATCH(Identity!A22,Creative!A:A,0)),"")</f>
        <v/>
      </c>
      <c r="P23" s="2">
        <f>IFERROR(INDEX(Creative!K:K,MATCH(Identity!A22,Creative!A:A,0)),"")</f>
        <v/>
      </c>
      <c r="Q23" s="2">
        <f>IFERROR(INDEX(Creative!L:L,MATCH(Identity!A22,Creative!A:A,0)),"")</f>
        <v/>
      </c>
      <c r="R23" s="2">
        <f>IFERROR(INDEX(Creative!M:M,MATCH(Identity!A22,Creative!A:A,0)),"")</f>
        <v/>
      </c>
      <c r="S23" s="2">
        <f>IFERROR(INDEX(Creative!N:N,MATCH(Identity!A22,Creative!A:A,0)),"")</f>
        <v/>
      </c>
      <c r="T23" s="2">
        <f>IFERROR(INDEX(Creative!O:O,MATCH(Identity!A22,Creative!A:A,0)),"")</f>
        <v/>
      </c>
      <c r="U23" s="2">
        <f>IFERROR(INDEX(Creative!P:P,MATCH(Identity!A22,Creative!A:A,0)),"")</f>
        <v/>
      </c>
      <c r="V23" s="2">
        <f>IFERROR(INDEX(Creative!Q:Q,MATCH(Identity!A22,Creative!A:A,0)),"")</f>
        <v/>
      </c>
      <c r="W23" s="2">
        <f>IFERROR(INDEX(Performance!B:B,MATCH(Identity!A22,Performance!A:A,0)),"")</f>
        <v/>
      </c>
      <c r="X23" s="2">
        <f>IFERROR(INDEX(Performance!C:C,MATCH(Identity!A22,Performance!A:A,0)),"")</f>
        <v/>
      </c>
      <c r="Y23" s="2">
        <f>IFERROR(INDEX(Performance!D:D,MATCH(Identity!A22,Performance!A:A,0)),"")</f>
        <v/>
      </c>
      <c r="Z23" s="2">
        <f>IFERROR(INDEX(Performance!E:E,MATCH(Identity!A22,Performance!A:A,0)),"")</f>
        <v/>
      </c>
      <c r="AA23" s="2">
        <f>IFERROR(INDEX(Performance!F:F,MATCH(Identity!A22,Performance!A:A,0)),"")</f>
        <v/>
      </c>
      <c r="AB23" s="2">
        <f>IFERROR(INDEX(Performance!G:G,MATCH(Identity!A22,Performance!A:A,0)),"")</f>
        <v/>
      </c>
      <c r="AC23" s="2">
        <f>IFERROR(INDEX(Performance!H:H,MATCH(Identity!A22,Performance!A:A,0)),"")</f>
        <v/>
      </c>
      <c r="AD23" s="2">
        <f>IFERROR(INDEX(Performance!I:I,MATCH(Identity!A22,Performance!A:A,0)),"")</f>
        <v/>
      </c>
      <c r="AE23" s="2">
        <f>IFERROR(INDEX(Conversion!B:B,MATCH(Identity!A22,Conversion!A:A,0)),"")</f>
        <v/>
      </c>
      <c r="AF23" s="2">
        <f>IFERROR(INDEX(Conversion!C:C,MATCH(Identity!A22,Conversion!A:A,0)),"")</f>
        <v/>
      </c>
      <c r="AG23" s="2">
        <f>IFERROR(INDEX(Conversion!D:D,MATCH(Identity!A22,Conversion!A:A,0)),"")</f>
        <v/>
      </c>
      <c r="AH23" s="2">
        <f>IFERROR(INDEX(Conversion!E:E,MATCH(Identity!A22,Conversion!A:A,0)),"")</f>
        <v/>
      </c>
      <c r="AI23" s="2">
        <f>IFERROR(INDEX(Conversion!F:F,MATCH(Identity!A22,Conversion!A:A,0)),"")</f>
        <v/>
      </c>
    </row>
    <row r="24">
      <c r="A24" s="2">
        <f>IF(Identity!A23="","",Identity!A23)</f>
        <v/>
      </c>
      <c r="B24" s="2">
        <f>IF(Identity!B23="","",Identity!B23)</f>
        <v/>
      </c>
      <c r="C24" s="2">
        <f>IF(Identity!C23="","",Identity!C23)</f>
        <v/>
      </c>
      <c r="D24" s="2">
        <f>IF(Identity!D23="","",Identity!D23)</f>
        <v/>
      </c>
      <c r="E24" s="2">
        <f>IF(Identity!E23="","",Identity!E23)</f>
        <v/>
      </c>
      <c r="F24" s="2">
        <f>IF(Identity!F23="","",Identity!F23)</f>
        <v/>
      </c>
      <c r="G24" s="2">
        <f>IFERROR(INDEX(Creative!B:B,MATCH(Identity!A23,Creative!A:A,0)),"")</f>
        <v/>
      </c>
      <c r="H24" s="2">
        <f>IFERROR(INDEX(Creative!C:C,MATCH(Identity!A23,Creative!A:A,0)),"")</f>
        <v/>
      </c>
      <c r="I24" s="2">
        <f>IFERROR(INDEX(Creative!D:D,MATCH(Identity!A23,Creative!A:A,0)),"")</f>
        <v/>
      </c>
      <c r="J24" s="2">
        <f>IFERROR(INDEX(Creative!E:E,MATCH(Identity!A23,Creative!A:A,0)),"")</f>
        <v/>
      </c>
      <c r="K24" s="2">
        <f>IFERROR(INDEX(Creative!F:F,MATCH(Identity!A23,Creative!A:A,0)),"")</f>
        <v/>
      </c>
      <c r="L24" s="2">
        <f>IFERROR(INDEX(Creative!G:G,MATCH(Identity!A23,Creative!A:A,0)),"")</f>
        <v/>
      </c>
      <c r="M24" s="2">
        <f>IFERROR(INDEX(Creative!H:H,MATCH(Identity!A23,Creative!A:A,0)),"")</f>
        <v/>
      </c>
      <c r="N24" s="2">
        <f>IFERROR(INDEX(Creative!I:I,MATCH(Identity!A23,Creative!A:A,0)),"")</f>
        <v/>
      </c>
      <c r="O24" s="2">
        <f>IFERROR(INDEX(Creative!J:J,MATCH(Identity!A23,Creative!A:A,0)),"")</f>
        <v/>
      </c>
      <c r="P24" s="2">
        <f>IFERROR(INDEX(Creative!K:K,MATCH(Identity!A23,Creative!A:A,0)),"")</f>
        <v/>
      </c>
      <c r="Q24" s="2">
        <f>IFERROR(INDEX(Creative!L:L,MATCH(Identity!A23,Creative!A:A,0)),"")</f>
        <v/>
      </c>
      <c r="R24" s="2">
        <f>IFERROR(INDEX(Creative!M:M,MATCH(Identity!A23,Creative!A:A,0)),"")</f>
        <v/>
      </c>
      <c r="S24" s="2">
        <f>IFERROR(INDEX(Creative!N:N,MATCH(Identity!A23,Creative!A:A,0)),"")</f>
        <v/>
      </c>
      <c r="T24" s="2">
        <f>IFERROR(INDEX(Creative!O:O,MATCH(Identity!A23,Creative!A:A,0)),"")</f>
        <v/>
      </c>
      <c r="U24" s="2">
        <f>IFERROR(INDEX(Creative!P:P,MATCH(Identity!A23,Creative!A:A,0)),"")</f>
        <v/>
      </c>
      <c r="V24" s="2">
        <f>IFERROR(INDEX(Creative!Q:Q,MATCH(Identity!A23,Creative!A:A,0)),"")</f>
        <v/>
      </c>
      <c r="W24" s="2">
        <f>IFERROR(INDEX(Performance!B:B,MATCH(Identity!A23,Performance!A:A,0)),"")</f>
        <v/>
      </c>
      <c r="X24" s="2">
        <f>IFERROR(INDEX(Performance!C:C,MATCH(Identity!A23,Performance!A:A,0)),"")</f>
        <v/>
      </c>
      <c r="Y24" s="2">
        <f>IFERROR(INDEX(Performance!D:D,MATCH(Identity!A23,Performance!A:A,0)),"")</f>
        <v/>
      </c>
      <c r="Z24" s="2">
        <f>IFERROR(INDEX(Performance!E:E,MATCH(Identity!A23,Performance!A:A,0)),"")</f>
        <v/>
      </c>
      <c r="AA24" s="2">
        <f>IFERROR(INDEX(Performance!F:F,MATCH(Identity!A23,Performance!A:A,0)),"")</f>
        <v/>
      </c>
      <c r="AB24" s="2">
        <f>IFERROR(INDEX(Performance!G:G,MATCH(Identity!A23,Performance!A:A,0)),"")</f>
        <v/>
      </c>
      <c r="AC24" s="2">
        <f>IFERROR(INDEX(Performance!H:H,MATCH(Identity!A23,Performance!A:A,0)),"")</f>
        <v/>
      </c>
      <c r="AD24" s="2">
        <f>IFERROR(INDEX(Performance!I:I,MATCH(Identity!A23,Performance!A:A,0)),"")</f>
        <v/>
      </c>
      <c r="AE24" s="2">
        <f>IFERROR(INDEX(Conversion!B:B,MATCH(Identity!A23,Conversion!A:A,0)),"")</f>
        <v/>
      </c>
      <c r="AF24" s="2">
        <f>IFERROR(INDEX(Conversion!C:C,MATCH(Identity!A23,Conversion!A:A,0)),"")</f>
        <v/>
      </c>
      <c r="AG24" s="2">
        <f>IFERROR(INDEX(Conversion!D:D,MATCH(Identity!A23,Conversion!A:A,0)),"")</f>
        <v/>
      </c>
      <c r="AH24" s="2">
        <f>IFERROR(INDEX(Conversion!E:E,MATCH(Identity!A23,Conversion!A:A,0)),"")</f>
        <v/>
      </c>
      <c r="AI24" s="2">
        <f>IFERROR(INDEX(Conversion!F:F,MATCH(Identity!A23,Conversion!A:A,0)),"")</f>
        <v/>
      </c>
    </row>
    <row r="25">
      <c r="A25" s="2">
        <f>IF(Identity!A24="","",Identity!A24)</f>
        <v/>
      </c>
      <c r="B25" s="2">
        <f>IF(Identity!B24="","",Identity!B24)</f>
        <v/>
      </c>
      <c r="C25" s="2">
        <f>IF(Identity!C24="","",Identity!C24)</f>
        <v/>
      </c>
      <c r="D25" s="2">
        <f>IF(Identity!D24="","",Identity!D24)</f>
        <v/>
      </c>
      <c r="E25" s="2">
        <f>IF(Identity!E24="","",Identity!E24)</f>
        <v/>
      </c>
      <c r="F25" s="2">
        <f>IF(Identity!F24="","",Identity!F24)</f>
        <v/>
      </c>
      <c r="G25" s="2">
        <f>IFERROR(INDEX(Creative!B:B,MATCH(Identity!A24,Creative!A:A,0)),"")</f>
        <v/>
      </c>
      <c r="H25" s="2">
        <f>IFERROR(INDEX(Creative!C:C,MATCH(Identity!A24,Creative!A:A,0)),"")</f>
        <v/>
      </c>
      <c r="I25" s="2">
        <f>IFERROR(INDEX(Creative!D:D,MATCH(Identity!A24,Creative!A:A,0)),"")</f>
        <v/>
      </c>
      <c r="J25" s="2">
        <f>IFERROR(INDEX(Creative!E:E,MATCH(Identity!A24,Creative!A:A,0)),"")</f>
        <v/>
      </c>
      <c r="K25" s="2">
        <f>IFERROR(INDEX(Creative!F:F,MATCH(Identity!A24,Creative!A:A,0)),"")</f>
        <v/>
      </c>
      <c r="L25" s="2">
        <f>IFERROR(INDEX(Creative!G:G,MATCH(Identity!A24,Creative!A:A,0)),"")</f>
        <v/>
      </c>
      <c r="M25" s="2">
        <f>IFERROR(INDEX(Creative!H:H,MATCH(Identity!A24,Creative!A:A,0)),"")</f>
        <v/>
      </c>
      <c r="N25" s="2">
        <f>IFERROR(INDEX(Creative!I:I,MATCH(Identity!A24,Creative!A:A,0)),"")</f>
        <v/>
      </c>
      <c r="O25" s="2">
        <f>IFERROR(INDEX(Creative!J:J,MATCH(Identity!A24,Creative!A:A,0)),"")</f>
        <v/>
      </c>
      <c r="P25" s="2">
        <f>IFERROR(INDEX(Creative!K:K,MATCH(Identity!A24,Creative!A:A,0)),"")</f>
        <v/>
      </c>
      <c r="Q25" s="2">
        <f>IFERROR(INDEX(Creative!L:L,MATCH(Identity!A24,Creative!A:A,0)),"")</f>
        <v/>
      </c>
      <c r="R25" s="2">
        <f>IFERROR(INDEX(Creative!M:M,MATCH(Identity!A24,Creative!A:A,0)),"")</f>
        <v/>
      </c>
      <c r="S25" s="2">
        <f>IFERROR(INDEX(Creative!N:N,MATCH(Identity!A24,Creative!A:A,0)),"")</f>
        <v/>
      </c>
      <c r="T25" s="2">
        <f>IFERROR(INDEX(Creative!O:O,MATCH(Identity!A24,Creative!A:A,0)),"")</f>
        <v/>
      </c>
      <c r="U25" s="2">
        <f>IFERROR(INDEX(Creative!P:P,MATCH(Identity!A24,Creative!A:A,0)),"")</f>
        <v/>
      </c>
      <c r="V25" s="2">
        <f>IFERROR(INDEX(Creative!Q:Q,MATCH(Identity!A24,Creative!A:A,0)),"")</f>
        <v/>
      </c>
      <c r="W25" s="2">
        <f>IFERROR(INDEX(Performance!B:B,MATCH(Identity!A24,Performance!A:A,0)),"")</f>
        <v/>
      </c>
      <c r="X25" s="2">
        <f>IFERROR(INDEX(Performance!C:C,MATCH(Identity!A24,Performance!A:A,0)),"")</f>
        <v/>
      </c>
      <c r="Y25" s="2">
        <f>IFERROR(INDEX(Performance!D:D,MATCH(Identity!A24,Performance!A:A,0)),"")</f>
        <v/>
      </c>
      <c r="Z25" s="2">
        <f>IFERROR(INDEX(Performance!E:E,MATCH(Identity!A24,Performance!A:A,0)),"")</f>
        <v/>
      </c>
      <c r="AA25" s="2">
        <f>IFERROR(INDEX(Performance!F:F,MATCH(Identity!A24,Performance!A:A,0)),"")</f>
        <v/>
      </c>
      <c r="AB25" s="2">
        <f>IFERROR(INDEX(Performance!G:G,MATCH(Identity!A24,Performance!A:A,0)),"")</f>
        <v/>
      </c>
      <c r="AC25" s="2">
        <f>IFERROR(INDEX(Performance!H:H,MATCH(Identity!A24,Performance!A:A,0)),"")</f>
        <v/>
      </c>
      <c r="AD25" s="2">
        <f>IFERROR(INDEX(Performance!I:I,MATCH(Identity!A24,Performance!A:A,0)),"")</f>
        <v/>
      </c>
      <c r="AE25" s="2">
        <f>IFERROR(INDEX(Conversion!B:B,MATCH(Identity!A24,Conversion!A:A,0)),"")</f>
        <v/>
      </c>
      <c r="AF25" s="2">
        <f>IFERROR(INDEX(Conversion!C:C,MATCH(Identity!A24,Conversion!A:A,0)),"")</f>
        <v/>
      </c>
      <c r="AG25" s="2">
        <f>IFERROR(INDEX(Conversion!D:D,MATCH(Identity!A24,Conversion!A:A,0)),"")</f>
        <v/>
      </c>
      <c r="AH25" s="2">
        <f>IFERROR(INDEX(Conversion!E:E,MATCH(Identity!A24,Conversion!A:A,0)),"")</f>
        <v/>
      </c>
      <c r="AI25" s="2">
        <f>IFERROR(INDEX(Conversion!F:F,MATCH(Identity!A24,Conversion!A:A,0)),"")</f>
        <v/>
      </c>
    </row>
    <row r="26">
      <c r="A26" s="2">
        <f>IF(Identity!A25="","",Identity!A25)</f>
        <v/>
      </c>
      <c r="B26" s="2">
        <f>IF(Identity!B25="","",Identity!B25)</f>
        <v/>
      </c>
      <c r="C26" s="2">
        <f>IF(Identity!C25="","",Identity!C25)</f>
        <v/>
      </c>
      <c r="D26" s="2">
        <f>IF(Identity!D25="","",Identity!D25)</f>
        <v/>
      </c>
      <c r="E26" s="2">
        <f>IF(Identity!E25="","",Identity!E25)</f>
        <v/>
      </c>
      <c r="F26" s="2">
        <f>IF(Identity!F25="","",Identity!F25)</f>
        <v/>
      </c>
      <c r="G26" s="2">
        <f>IFERROR(INDEX(Creative!B:B,MATCH(Identity!A25,Creative!A:A,0)),"")</f>
        <v/>
      </c>
      <c r="H26" s="2">
        <f>IFERROR(INDEX(Creative!C:C,MATCH(Identity!A25,Creative!A:A,0)),"")</f>
        <v/>
      </c>
      <c r="I26" s="2">
        <f>IFERROR(INDEX(Creative!D:D,MATCH(Identity!A25,Creative!A:A,0)),"")</f>
        <v/>
      </c>
      <c r="J26" s="2">
        <f>IFERROR(INDEX(Creative!E:E,MATCH(Identity!A25,Creative!A:A,0)),"")</f>
        <v/>
      </c>
      <c r="K26" s="2">
        <f>IFERROR(INDEX(Creative!F:F,MATCH(Identity!A25,Creative!A:A,0)),"")</f>
        <v/>
      </c>
      <c r="L26" s="2">
        <f>IFERROR(INDEX(Creative!G:G,MATCH(Identity!A25,Creative!A:A,0)),"")</f>
        <v/>
      </c>
      <c r="M26" s="2">
        <f>IFERROR(INDEX(Creative!H:H,MATCH(Identity!A25,Creative!A:A,0)),"")</f>
        <v/>
      </c>
      <c r="N26" s="2">
        <f>IFERROR(INDEX(Creative!I:I,MATCH(Identity!A25,Creative!A:A,0)),"")</f>
        <v/>
      </c>
      <c r="O26" s="2">
        <f>IFERROR(INDEX(Creative!J:J,MATCH(Identity!A25,Creative!A:A,0)),"")</f>
        <v/>
      </c>
      <c r="P26" s="2">
        <f>IFERROR(INDEX(Creative!K:K,MATCH(Identity!A25,Creative!A:A,0)),"")</f>
        <v/>
      </c>
      <c r="Q26" s="2">
        <f>IFERROR(INDEX(Creative!L:L,MATCH(Identity!A25,Creative!A:A,0)),"")</f>
        <v/>
      </c>
      <c r="R26" s="2">
        <f>IFERROR(INDEX(Creative!M:M,MATCH(Identity!A25,Creative!A:A,0)),"")</f>
        <v/>
      </c>
      <c r="S26" s="2">
        <f>IFERROR(INDEX(Creative!N:N,MATCH(Identity!A25,Creative!A:A,0)),"")</f>
        <v/>
      </c>
      <c r="T26" s="2">
        <f>IFERROR(INDEX(Creative!O:O,MATCH(Identity!A25,Creative!A:A,0)),"")</f>
        <v/>
      </c>
      <c r="U26" s="2">
        <f>IFERROR(INDEX(Creative!P:P,MATCH(Identity!A25,Creative!A:A,0)),"")</f>
        <v/>
      </c>
      <c r="V26" s="2">
        <f>IFERROR(INDEX(Creative!Q:Q,MATCH(Identity!A25,Creative!A:A,0)),"")</f>
        <v/>
      </c>
      <c r="W26" s="2">
        <f>IFERROR(INDEX(Performance!B:B,MATCH(Identity!A25,Performance!A:A,0)),"")</f>
        <v/>
      </c>
      <c r="X26" s="2">
        <f>IFERROR(INDEX(Performance!C:C,MATCH(Identity!A25,Performance!A:A,0)),"")</f>
        <v/>
      </c>
      <c r="Y26" s="2">
        <f>IFERROR(INDEX(Performance!D:D,MATCH(Identity!A25,Performance!A:A,0)),"")</f>
        <v/>
      </c>
      <c r="Z26" s="2">
        <f>IFERROR(INDEX(Performance!E:E,MATCH(Identity!A25,Performance!A:A,0)),"")</f>
        <v/>
      </c>
      <c r="AA26" s="2">
        <f>IFERROR(INDEX(Performance!F:F,MATCH(Identity!A25,Performance!A:A,0)),"")</f>
        <v/>
      </c>
      <c r="AB26" s="2">
        <f>IFERROR(INDEX(Performance!G:G,MATCH(Identity!A25,Performance!A:A,0)),"")</f>
        <v/>
      </c>
      <c r="AC26" s="2">
        <f>IFERROR(INDEX(Performance!H:H,MATCH(Identity!A25,Performance!A:A,0)),"")</f>
        <v/>
      </c>
      <c r="AD26" s="2">
        <f>IFERROR(INDEX(Performance!I:I,MATCH(Identity!A25,Performance!A:A,0)),"")</f>
        <v/>
      </c>
      <c r="AE26" s="2">
        <f>IFERROR(INDEX(Conversion!B:B,MATCH(Identity!A25,Conversion!A:A,0)),"")</f>
        <v/>
      </c>
      <c r="AF26" s="2">
        <f>IFERROR(INDEX(Conversion!C:C,MATCH(Identity!A25,Conversion!A:A,0)),"")</f>
        <v/>
      </c>
      <c r="AG26" s="2">
        <f>IFERROR(INDEX(Conversion!D:D,MATCH(Identity!A25,Conversion!A:A,0)),"")</f>
        <v/>
      </c>
      <c r="AH26" s="2">
        <f>IFERROR(INDEX(Conversion!E:E,MATCH(Identity!A25,Conversion!A:A,0)),"")</f>
        <v/>
      </c>
      <c r="AI26" s="2">
        <f>IFERROR(INDEX(Conversion!F:F,MATCH(Identity!A25,Conversion!A:A,0)),"")</f>
        <v/>
      </c>
    </row>
    <row r="27">
      <c r="A27" s="2">
        <f>IF(Identity!A26="","",Identity!A26)</f>
        <v/>
      </c>
      <c r="B27" s="2">
        <f>IF(Identity!B26="","",Identity!B26)</f>
        <v/>
      </c>
      <c r="C27" s="2">
        <f>IF(Identity!C26="","",Identity!C26)</f>
        <v/>
      </c>
      <c r="D27" s="2">
        <f>IF(Identity!D26="","",Identity!D26)</f>
        <v/>
      </c>
      <c r="E27" s="2">
        <f>IF(Identity!E26="","",Identity!E26)</f>
        <v/>
      </c>
      <c r="F27" s="2">
        <f>IF(Identity!F26="","",Identity!F26)</f>
        <v/>
      </c>
      <c r="G27" s="2">
        <f>IFERROR(INDEX(Creative!B:B,MATCH(Identity!A26,Creative!A:A,0)),"")</f>
        <v/>
      </c>
      <c r="H27" s="2">
        <f>IFERROR(INDEX(Creative!C:C,MATCH(Identity!A26,Creative!A:A,0)),"")</f>
        <v/>
      </c>
      <c r="I27" s="2">
        <f>IFERROR(INDEX(Creative!D:D,MATCH(Identity!A26,Creative!A:A,0)),"")</f>
        <v/>
      </c>
      <c r="J27" s="2">
        <f>IFERROR(INDEX(Creative!E:E,MATCH(Identity!A26,Creative!A:A,0)),"")</f>
        <v/>
      </c>
      <c r="K27" s="2">
        <f>IFERROR(INDEX(Creative!F:F,MATCH(Identity!A26,Creative!A:A,0)),"")</f>
        <v/>
      </c>
      <c r="L27" s="2">
        <f>IFERROR(INDEX(Creative!G:G,MATCH(Identity!A26,Creative!A:A,0)),"")</f>
        <v/>
      </c>
      <c r="M27" s="2">
        <f>IFERROR(INDEX(Creative!H:H,MATCH(Identity!A26,Creative!A:A,0)),"")</f>
        <v/>
      </c>
      <c r="N27" s="2">
        <f>IFERROR(INDEX(Creative!I:I,MATCH(Identity!A26,Creative!A:A,0)),"")</f>
        <v/>
      </c>
      <c r="O27" s="2">
        <f>IFERROR(INDEX(Creative!J:J,MATCH(Identity!A26,Creative!A:A,0)),"")</f>
        <v/>
      </c>
      <c r="P27" s="2">
        <f>IFERROR(INDEX(Creative!K:K,MATCH(Identity!A26,Creative!A:A,0)),"")</f>
        <v/>
      </c>
      <c r="Q27" s="2">
        <f>IFERROR(INDEX(Creative!L:L,MATCH(Identity!A26,Creative!A:A,0)),"")</f>
        <v/>
      </c>
      <c r="R27" s="2">
        <f>IFERROR(INDEX(Creative!M:M,MATCH(Identity!A26,Creative!A:A,0)),"")</f>
        <v/>
      </c>
      <c r="S27" s="2">
        <f>IFERROR(INDEX(Creative!N:N,MATCH(Identity!A26,Creative!A:A,0)),"")</f>
        <v/>
      </c>
      <c r="T27" s="2">
        <f>IFERROR(INDEX(Creative!O:O,MATCH(Identity!A26,Creative!A:A,0)),"")</f>
        <v/>
      </c>
      <c r="U27" s="2">
        <f>IFERROR(INDEX(Creative!P:P,MATCH(Identity!A26,Creative!A:A,0)),"")</f>
        <v/>
      </c>
      <c r="V27" s="2">
        <f>IFERROR(INDEX(Creative!Q:Q,MATCH(Identity!A26,Creative!A:A,0)),"")</f>
        <v/>
      </c>
      <c r="W27" s="2">
        <f>IFERROR(INDEX(Performance!B:B,MATCH(Identity!A26,Performance!A:A,0)),"")</f>
        <v/>
      </c>
      <c r="X27" s="2">
        <f>IFERROR(INDEX(Performance!C:C,MATCH(Identity!A26,Performance!A:A,0)),"")</f>
        <v/>
      </c>
      <c r="Y27" s="2">
        <f>IFERROR(INDEX(Performance!D:D,MATCH(Identity!A26,Performance!A:A,0)),"")</f>
        <v/>
      </c>
      <c r="Z27" s="2">
        <f>IFERROR(INDEX(Performance!E:E,MATCH(Identity!A26,Performance!A:A,0)),"")</f>
        <v/>
      </c>
      <c r="AA27" s="2">
        <f>IFERROR(INDEX(Performance!F:F,MATCH(Identity!A26,Performance!A:A,0)),"")</f>
        <v/>
      </c>
      <c r="AB27" s="2">
        <f>IFERROR(INDEX(Performance!G:G,MATCH(Identity!A26,Performance!A:A,0)),"")</f>
        <v/>
      </c>
      <c r="AC27" s="2">
        <f>IFERROR(INDEX(Performance!H:H,MATCH(Identity!A26,Performance!A:A,0)),"")</f>
        <v/>
      </c>
      <c r="AD27" s="2">
        <f>IFERROR(INDEX(Performance!I:I,MATCH(Identity!A26,Performance!A:A,0)),"")</f>
        <v/>
      </c>
      <c r="AE27" s="2">
        <f>IFERROR(INDEX(Conversion!B:B,MATCH(Identity!A26,Conversion!A:A,0)),"")</f>
        <v/>
      </c>
      <c r="AF27" s="2">
        <f>IFERROR(INDEX(Conversion!C:C,MATCH(Identity!A26,Conversion!A:A,0)),"")</f>
        <v/>
      </c>
      <c r="AG27" s="2">
        <f>IFERROR(INDEX(Conversion!D:D,MATCH(Identity!A26,Conversion!A:A,0)),"")</f>
        <v/>
      </c>
      <c r="AH27" s="2">
        <f>IFERROR(INDEX(Conversion!E:E,MATCH(Identity!A26,Conversion!A:A,0)),"")</f>
        <v/>
      </c>
      <c r="AI27" s="2">
        <f>IFERROR(INDEX(Conversion!F:F,MATCH(Identity!A26,Conversion!A:A,0)),"")</f>
        <v/>
      </c>
    </row>
    <row r="28">
      <c r="A28" s="2">
        <f>IF(Identity!A27="","",Identity!A27)</f>
        <v/>
      </c>
      <c r="B28" s="2">
        <f>IF(Identity!B27="","",Identity!B27)</f>
        <v/>
      </c>
      <c r="C28" s="2">
        <f>IF(Identity!C27="","",Identity!C27)</f>
        <v/>
      </c>
      <c r="D28" s="2">
        <f>IF(Identity!D27="","",Identity!D27)</f>
        <v/>
      </c>
      <c r="E28" s="2">
        <f>IF(Identity!E27="","",Identity!E27)</f>
        <v/>
      </c>
      <c r="F28" s="2">
        <f>IF(Identity!F27="","",Identity!F27)</f>
        <v/>
      </c>
      <c r="G28" s="2">
        <f>IFERROR(INDEX(Creative!B:B,MATCH(Identity!A27,Creative!A:A,0)),"")</f>
        <v/>
      </c>
      <c r="H28" s="2">
        <f>IFERROR(INDEX(Creative!C:C,MATCH(Identity!A27,Creative!A:A,0)),"")</f>
        <v/>
      </c>
      <c r="I28" s="2">
        <f>IFERROR(INDEX(Creative!D:D,MATCH(Identity!A27,Creative!A:A,0)),"")</f>
        <v/>
      </c>
      <c r="J28" s="2">
        <f>IFERROR(INDEX(Creative!E:E,MATCH(Identity!A27,Creative!A:A,0)),"")</f>
        <v/>
      </c>
      <c r="K28" s="2">
        <f>IFERROR(INDEX(Creative!F:F,MATCH(Identity!A27,Creative!A:A,0)),"")</f>
        <v/>
      </c>
      <c r="L28" s="2">
        <f>IFERROR(INDEX(Creative!G:G,MATCH(Identity!A27,Creative!A:A,0)),"")</f>
        <v/>
      </c>
      <c r="M28" s="2">
        <f>IFERROR(INDEX(Creative!H:H,MATCH(Identity!A27,Creative!A:A,0)),"")</f>
        <v/>
      </c>
      <c r="N28" s="2">
        <f>IFERROR(INDEX(Creative!I:I,MATCH(Identity!A27,Creative!A:A,0)),"")</f>
        <v/>
      </c>
      <c r="O28" s="2">
        <f>IFERROR(INDEX(Creative!J:J,MATCH(Identity!A27,Creative!A:A,0)),"")</f>
        <v/>
      </c>
      <c r="P28" s="2">
        <f>IFERROR(INDEX(Creative!K:K,MATCH(Identity!A27,Creative!A:A,0)),"")</f>
        <v/>
      </c>
      <c r="Q28" s="2">
        <f>IFERROR(INDEX(Creative!L:L,MATCH(Identity!A27,Creative!A:A,0)),"")</f>
        <v/>
      </c>
      <c r="R28" s="2">
        <f>IFERROR(INDEX(Creative!M:M,MATCH(Identity!A27,Creative!A:A,0)),"")</f>
        <v/>
      </c>
      <c r="S28" s="2">
        <f>IFERROR(INDEX(Creative!N:N,MATCH(Identity!A27,Creative!A:A,0)),"")</f>
        <v/>
      </c>
      <c r="T28" s="2">
        <f>IFERROR(INDEX(Creative!O:O,MATCH(Identity!A27,Creative!A:A,0)),"")</f>
        <v/>
      </c>
      <c r="U28" s="2">
        <f>IFERROR(INDEX(Creative!P:P,MATCH(Identity!A27,Creative!A:A,0)),"")</f>
        <v/>
      </c>
      <c r="V28" s="2">
        <f>IFERROR(INDEX(Creative!Q:Q,MATCH(Identity!A27,Creative!A:A,0)),"")</f>
        <v/>
      </c>
      <c r="W28" s="2">
        <f>IFERROR(INDEX(Performance!B:B,MATCH(Identity!A27,Performance!A:A,0)),"")</f>
        <v/>
      </c>
      <c r="X28" s="2">
        <f>IFERROR(INDEX(Performance!C:C,MATCH(Identity!A27,Performance!A:A,0)),"")</f>
        <v/>
      </c>
      <c r="Y28" s="2">
        <f>IFERROR(INDEX(Performance!D:D,MATCH(Identity!A27,Performance!A:A,0)),"")</f>
        <v/>
      </c>
      <c r="Z28" s="2">
        <f>IFERROR(INDEX(Performance!E:E,MATCH(Identity!A27,Performance!A:A,0)),"")</f>
        <v/>
      </c>
      <c r="AA28" s="2">
        <f>IFERROR(INDEX(Performance!F:F,MATCH(Identity!A27,Performance!A:A,0)),"")</f>
        <v/>
      </c>
      <c r="AB28" s="2">
        <f>IFERROR(INDEX(Performance!G:G,MATCH(Identity!A27,Performance!A:A,0)),"")</f>
        <v/>
      </c>
      <c r="AC28" s="2">
        <f>IFERROR(INDEX(Performance!H:H,MATCH(Identity!A27,Performance!A:A,0)),"")</f>
        <v/>
      </c>
      <c r="AD28" s="2">
        <f>IFERROR(INDEX(Performance!I:I,MATCH(Identity!A27,Performance!A:A,0)),"")</f>
        <v/>
      </c>
      <c r="AE28" s="2">
        <f>IFERROR(INDEX(Conversion!B:B,MATCH(Identity!A27,Conversion!A:A,0)),"")</f>
        <v/>
      </c>
      <c r="AF28" s="2">
        <f>IFERROR(INDEX(Conversion!C:C,MATCH(Identity!A27,Conversion!A:A,0)),"")</f>
        <v/>
      </c>
      <c r="AG28" s="2">
        <f>IFERROR(INDEX(Conversion!D:D,MATCH(Identity!A27,Conversion!A:A,0)),"")</f>
        <v/>
      </c>
      <c r="AH28" s="2">
        <f>IFERROR(INDEX(Conversion!E:E,MATCH(Identity!A27,Conversion!A:A,0)),"")</f>
        <v/>
      </c>
      <c r="AI28" s="2">
        <f>IFERROR(INDEX(Conversion!F:F,MATCH(Identity!A27,Conversion!A:A,0)),"")</f>
        <v/>
      </c>
    </row>
    <row r="29">
      <c r="A29" s="2">
        <f>IF(Identity!A28="","",Identity!A28)</f>
        <v/>
      </c>
      <c r="B29" s="2">
        <f>IF(Identity!B28="","",Identity!B28)</f>
        <v/>
      </c>
      <c r="C29" s="2">
        <f>IF(Identity!C28="","",Identity!C28)</f>
        <v/>
      </c>
      <c r="D29" s="2">
        <f>IF(Identity!D28="","",Identity!D28)</f>
        <v/>
      </c>
      <c r="E29" s="2">
        <f>IF(Identity!E28="","",Identity!E28)</f>
        <v/>
      </c>
      <c r="F29" s="2">
        <f>IF(Identity!F28="","",Identity!F28)</f>
        <v/>
      </c>
      <c r="G29" s="2">
        <f>IFERROR(INDEX(Creative!B:B,MATCH(Identity!A28,Creative!A:A,0)),"")</f>
        <v/>
      </c>
      <c r="H29" s="2">
        <f>IFERROR(INDEX(Creative!C:C,MATCH(Identity!A28,Creative!A:A,0)),"")</f>
        <v/>
      </c>
      <c r="I29" s="2">
        <f>IFERROR(INDEX(Creative!D:D,MATCH(Identity!A28,Creative!A:A,0)),"")</f>
        <v/>
      </c>
      <c r="J29" s="2">
        <f>IFERROR(INDEX(Creative!E:E,MATCH(Identity!A28,Creative!A:A,0)),"")</f>
        <v/>
      </c>
      <c r="K29" s="2">
        <f>IFERROR(INDEX(Creative!F:F,MATCH(Identity!A28,Creative!A:A,0)),"")</f>
        <v/>
      </c>
      <c r="L29" s="2">
        <f>IFERROR(INDEX(Creative!G:G,MATCH(Identity!A28,Creative!A:A,0)),"")</f>
        <v/>
      </c>
      <c r="M29" s="2">
        <f>IFERROR(INDEX(Creative!H:H,MATCH(Identity!A28,Creative!A:A,0)),"")</f>
        <v/>
      </c>
      <c r="N29" s="2">
        <f>IFERROR(INDEX(Creative!I:I,MATCH(Identity!A28,Creative!A:A,0)),"")</f>
        <v/>
      </c>
      <c r="O29" s="2">
        <f>IFERROR(INDEX(Creative!J:J,MATCH(Identity!A28,Creative!A:A,0)),"")</f>
        <v/>
      </c>
      <c r="P29" s="2">
        <f>IFERROR(INDEX(Creative!K:K,MATCH(Identity!A28,Creative!A:A,0)),"")</f>
        <v/>
      </c>
      <c r="Q29" s="2">
        <f>IFERROR(INDEX(Creative!L:L,MATCH(Identity!A28,Creative!A:A,0)),"")</f>
        <v/>
      </c>
      <c r="R29" s="2">
        <f>IFERROR(INDEX(Creative!M:M,MATCH(Identity!A28,Creative!A:A,0)),"")</f>
        <v/>
      </c>
      <c r="S29" s="2">
        <f>IFERROR(INDEX(Creative!N:N,MATCH(Identity!A28,Creative!A:A,0)),"")</f>
        <v/>
      </c>
      <c r="T29" s="2">
        <f>IFERROR(INDEX(Creative!O:O,MATCH(Identity!A28,Creative!A:A,0)),"")</f>
        <v/>
      </c>
      <c r="U29" s="2">
        <f>IFERROR(INDEX(Creative!P:P,MATCH(Identity!A28,Creative!A:A,0)),"")</f>
        <v/>
      </c>
      <c r="V29" s="2">
        <f>IFERROR(INDEX(Creative!Q:Q,MATCH(Identity!A28,Creative!A:A,0)),"")</f>
        <v/>
      </c>
      <c r="W29" s="2">
        <f>IFERROR(INDEX(Performance!B:B,MATCH(Identity!A28,Performance!A:A,0)),"")</f>
        <v/>
      </c>
      <c r="X29" s="2">
        <f>IFERROR(INDEX(Performance!C:C,MATCH(Identity!A28,Performance!A:A,0)),"")</f>
        <v/>
      </c>
      <c r="Y29" s="2">
        <f>IFERROR(INDEX(Performance!D:D,MATCH(Identity!A28,Performance!A:A,0)),"")</f>
        <v/>
      </c>
      <c r="Z29" s="2">
        <f>IFERROR(INDEX(Performance!E:E,MATCH(Identity!A28,Performance!A:A,0)),"")</f>
        <v/>
      </c>
      <c r="AA29" s="2">
        <f>IFERROR(INDEX(Performance!F:F,MATCH(Identity!A28,Performance!A:A,0)),"")</f>
        <v/>
      </c>
      <c r="AB29" s="2">
        <f>IFERROR(INDEX(Performance!G:G,MATCH(Identity!A28,Performance!A:A,0)),"")</f>
        <v/>
      </c>
      <c r="AC29" s="2">
        <f>IFERROR(INDEX(Performance!H:H,MATCH(Identity!A28,Performance!A:A,0)),"")</f>
        <v/>
      </c>
      <c r="AD29" s="2">
        <f>IFERROR(INDEX(Performance!I:I,MATCH(Identity!A28,Performance!A:A,0)),"")</f>
        <v/>
      </c>
      <c r="AE29" s="2">
        <f>IFERROR(INDEX(Conversion!B:B,MATCH(Identity!A28,Conversion!A:A,0)),"")</f>
        <v/>
      </c>
      <c r="AF29" s="2">
        <f>IFERROR(INDEX(Conversion!C:C,MATCH(Identity!A28,Conversion!A:A,0)),"")</f>
        <v/>
      </c>
      <c r="AG29" s="2">
        <f>IFERROR(INDEX(Conversion!D:D,MATCH(Identity!A28,Conversion!A:A,0)),"")</f>
        <v/>
      </c>
      <c r="AH29" s="2">
        <f>IFERROR(INDEX(Conversion!E:E,MATCH(Identity!A28,Conversion!A:A,0)),"")</f>
        <v/>
      </c>
      <c r="AI29" s="2">
        <f>IFERROR(INDEX(Conversion!F:F,MATCH(Identity!A28,Conversion!A:A,0)),"")</f>
        <v/>
      </c>
    </row>
    <row r="30">
      <c r="A30" s="2">
        <f>IF(Identity!A29="","",Identity!A29)</f>
        <v/>
      </c>
      <c r="B30" s="2">
        <f>IF(Identity!B29="","",Identity!B29)</f>
        <v/>
      </c>
      <c r="C30" s="2">
        <f>IF(Identity!C29="","",Identity!C29)</f>
        <v/>
      </c>
      <c r="D30" s="2">
        <f>IF(Identity!D29="","",Identity!D29)</f>
        <v/>
      </c>
      <c r="E30" s="2">
        <f>IF(Identity!E29="","",Identity!E29)</f>
        <v/>
      </c>
      <c r="F30" s="2">
        <f>IF(Identity!F29="","",Identity!F29)</f>
        <v/>
      </c>
      <c r="G30" s="2">
        <f>IFERROR(INDEX(Creative!B:B,MATCH(Identity!A29,Creative!A:A,0)),"")</f>
        <v/>
      </c>
      <c r="H30" s="2">
        <f>IFERROR(INDEX(Creative!C:C,MATCH(Identity!A29,Creative!A:A,0)),"")</f>
        <v/>
      </c>
      <c r="I30" s="2">
        <f>IFERROR(INDEX(Creative!D:D,MATCH(Identity!A29,Creative!A:A,0)),"")</f>
        <v/>
      </c>
      <c r="J30" s="2">
        <f>IFERROR(INDEX(Creative!E:E,MATCH(Identity!A29,Creative!A:A,0)),"")</f>
        <v/>
      </c>
      <c r="K30" s="2">
        <f>IFERROR(INDEX(Creative!F:F,MATCH(Identity!A29,Creative!A:A,0)),"")</f>
        <v/>
      </c>
      <c r="L30" s="2">
        <f>IFERROR(INDEX(Creative!G:G,MATCH(Identity!A29,Creative!A:A,0)),"")</f>
        <v/>
      </c>
      <c r="M30" s="2">
        <f>IFERROR(INDEX(Creative!H:H,MATCH(Identity!A29,Creative!A:A,0)),"")</f>
        <v/>
      </c>
      <c r="N30" s="2">
        <f>IFERROR(INDEX(Creative!I:I,MATCH(Identity!A29,Creative!A:A,0)),"")</f>
        <v/>
      </c>
      <c r="O30" s="2">
        <f>IFERROR(INDEX(Creative!J:J,MATCH(Identity!A29,Creative!A:A,0)),"")</f>
        <v/>
      </c>
      <c r="P30" s="2">
        <f>IFERROR(INDEX(Creative!K:K,MATCH(Identity!A29,Creative!A:A,0)),"")</f>
        <v/>
      </c>
      <c r="Q30" s="2">
        <f>IFERROR(INDEX(Creative!L:L,MATCH(Identity!A29,Creative!A:A,0)),"")</f>
        <v/>
      </c>
      <c r="R30" s="2">
        <f>IFERROR(INDEX(Creative!M:M,MATCH(Identity!A29,Creative!A:A,0)),"")</f>
        <v/>
      </c>
      <c r="S30" s="2">
        <f>IFERROR(INDEX(Creative!N:N,MATCH(Identity!A29,Creative!A:A,0)),"")</f>
        <v/>
      </c>
      <c r="T30" s="2">
        <f>IFERROR(INDEX(Creative!O:O,MATCH(Identity!A29,Creative!A:A,0)),"")</f>
        <v/>
      </c>
      <c r="U30" s="2">
        <f>IFERROR(INDEX(Creative!P:P,MATCH(Identity!A29,Creative!A:A,0)),"")</f>
        <v/>
      </c>
      <c r="V30" s="2">
        <f>IFERROR(INDEX(Creative!Q:Q,MATCH(Identity!A29,Creative!A:A,0)),"")</f>
        <v/>
      </c>
      <c r="W30" s="2">
        <f>IFERROR(INDEX(Performance!B:B,MATCH(Identity!A29,Performance!A:A,0)),"")</f>
        <v/>
      </c>
      <c r="X30" s="2">
        <f>IFERROR(INDEX(Performance!C:C,MATCH(Identity!A29,Performance!A:A,0)),"")</f>
        <v/>
      </c>
      <c r="Y30" s="2">
        <f>IFERROR(INDEX(Performance!D:D,MATCH(Identity!A29,Performance!A:A,0)),"")</f>
        <v/>
      </c>
      <c r="Z30" s="2">
        <f>IFERROR(INDEX(Performance!E:E,MATCH(Identity!A29,Performance!A:A,0)),"")</f>
        <v/>
      </c>
      <c r="AA30" s="2">
        <f>IFERROR(INDEX(Performance!F:F,MATCH(Identity!A29,Performance!A:A,0)),"")</f>
        <v/>
      </c>
      <c r="AB30" s="2">
        <f>IFERROR(INDEX(Performance!G:G,MATCH(Identity!A29,Performance!A:A,0)),"")</f>
        <v/>
      </c>
      <c r="AC30" s="2">
        <f>IFERROR(INDEX(Performance!H:H,MATCH(Identity!A29,Performance!A:A,0)),"")</f>
        <v/>
      </c>
      <c r="AD30" s="2">
        <f>IFERROR(INDEX(Performance!I:I,MATCH(Identity!A29,Performance!A:A,0)),"")</f>
        <v/>
      </c>
      <c r="AE30" s="2">
        <f>IFERROR(INDEX(Conversion!B:B,MATCH(Identity!A29,Conversion!A:A,0)),"")</f>
        <v/>
      </c>
      <c r="AF30" s="2">
        <f>IFERROR(INDEX(Conversion!C:C,MATCH(Identity!A29,Conversion!A:A,0)),"")</f>
        <v/>
      </c>
      <c r="AG30" s="2">
        <f>IFERROR(INDEX(Conversion!D:D,MATCH(Identity!A29,Conversion!A:A,0)),"")</f>
        <v/>
      </c>
      <c r="AH30" s="2">
        <f>IFERROR(INDEX(Conversion!E:E,MATCH(Identity!A29,Conversion!A:A,0)),"")</f>
        <v/>
      </c>
      <c r="AI30" s="2">
        <f>IFERROR(INDEX(Conversion!F:F,MATCH(Identity!A29,Conversion!A:A,0)),"")</f>
        <v/>
      </c>
    </row>
    <row r="31">
      <c r="A31" s="2">
        <f>IF(Identity!A30="","",Identity!A30)</f>
        <v/>
      </c>
      <c r="B31" s="2">
        <f>IF(Identity!B30="","",Identity!B30)</f>
        <v/>
      </c>
      <c r="C31" s="2">
        <f>IF(Identity!C30="","",Identity!C30)</f>
        <v/>
      </c>
      <c r="D31" s="2">
        <f>IF(Identity!D30="","",Identity!D30)</f>
        <v/>
      </c>
      <c r="E31" s="2">
        <f>IF(Identity!E30="","",Identity!E30)</f>
        <v/>
      </c>
      <c r="F31" s="2">
        <f>IF(Identity!F30="","",Identity!F30)</f>
        <v/>
      </c>
      <c r="G31" s="2">
        <f>IFERROR(INDEX(Creative!B:B,MATCH(Identity!A30,Creative!A:A,0)),"")</f>
        <v/>
      </c>
      <c r="H31" s="2">
        <f>IFERROR(INDEX(Creative!C:C,MATCH(Identity!A30,Creative!A:A,0)),"")</f>
        <v/>
      </c>
      <c r="I31" s="2">
        <f>IFERROR(INDEX(Creative!D:D,MATCH(Identity!A30,Creative!A:A,0)),"")</f>
        <v/>
      </c>
      <c r="J31" s="2">
        <f>IFERROR(INDEX(Creative!E:E,MATCH(Identity!A30,Creative!A:A,0)),"")</f>
        <v/>
      </c>
      <c r="K31" s="2">
        <f>IFERROR(INDEX(Creative!F:F,MATCH(Identity!A30,Creative!A:A,0)),"")</f>
        <v/>
      </c>
      <c r="L31" s="2">
        <f>IFERROR(INDEX(Creative!G:G,MATCH(Identity!A30,Creative!A:A,0)),"")</f>
        <v/>
      </c>
      <c r="M31" s="2">
        <f>IFERROR(INDEX(Creative!H:H,MATCH(Identity!A30,Creative!A:A,0)),"")</f>
        <v/>
      </c>
      <c r="N31" s="2">
        <f>IFERROR(INDEX(Creative!I:I,MATCH(Identity!A30,Creative!A:A,0)),"")</f>
        <v/>
      </c>
      <c r="O31" s="2">
        <f>IFERROR(INDEX(Creative!J:J,MATCH(Identity!A30,Creative!A:A,0)),"")</f>
        <v/>
      </c>
      <c r="P31" s="2">
        <f>IFERROR(INDEX(Creative!K:K,MATCH(Identity!A30,Creative!A:A,0)),"")</f>
        <v/>
      </c>
      <c r="Q31" s="2">
        <f>IFERROR(INDEX(Creative!L:L,MATCH(Identity!A30,Creative!A:A,0)),"")</f>
        <v/>
      </c>
      <c r="R31" s="2">
        <f>IFERROR(INDEX(Creative!M:M,MATCH(Identity!A30,Creative!A:A,0)),"")</f>
        <v/>
      </c>
      <c r="S31" s="2">
        <f>IFERROR(INDEX(Creative!N:N,MATCH(Identity!A30,Creative!A:A,0)),"")</f>
        <v/>
      </c>
      <c r="T31" s="2">
        <f>IFERROR(INDEX(Creative!O:O,MATCH(Identity!A30,Creative!A:A,0)),"")</f>
        <v/>
      </c>
      <c r="U31" s="2">
        <f>IFERROR(INDEX(Creative!P:P,MATCH(Identity!A30,Creative!A:A,0)),"")</f>
        <v/>
      </c>
      <c r="V31" s="2">
        <f>IFERROR(INDEX(Creative!Q:Q,MATCH(Identity!A30,Creative!A:A,0)),"")</f>
        <v/>
      </c>
      <c r="W31" s="2">
        <f>IFERROR(INDEX(Performance!B:B,MATCH(Identity!A30,Performance!A:A,0)),"")</f>
        <v/>
      </c>
      <c r="X31" s="2">
        <f>IFERROR(INDEX(Performance!C:C,MATCH(Identity!A30,Performance!A:A,0)),"")</f>
        <v/>
      </c>
      <c r="Y31" s="2">
        <f>IFERROR(INDEX(Performance!D:D,MATCH(Identity!A30,Performance!A:A,0)),"")</f>
        <v/>
      </c>
      <c r="Z31" s="2">
        <f>IFERROR(INDEX(Performance!E:E,MATCH(Identity!A30,Performance!A:A,0)),"")</f>
        <v/>
      </c>
      <c r="AA31" s="2">
        <f>IFERROR(INDEX(Performance!F:F,MATCH(Identity!A30,Performance!A:A,0)),"")</f>
        <v/>
      </c>
      <c r="AB31" s="2">
        <f>IFERROR(INDEX(Performance!G:G,MATCH(Identity!A30,Performance!A:A,0)),"")</f>
        <v/>
      </c>
      <c r="AC31" s="2">
        <f>IFERROR(INDEX(Performance!H:H,MATCH(Identity!A30,Performance!A:A,0)),"")</f>
        <v/>
      </c>
      <c r="AD31" s="2">
        <f>IFERROR(INDEX(Performance!I:I,MATCH(Identity!A30,Performance!A:A,0)),"")</f>
        <v/>
      </c>
      <c r="AE31" s="2">
        <f>IFERROR(INDEX(Conversion!B:B,MATCH(Identity!A30,Conversion!A:A,0)),"")</f>
        <v/>
      </c>
      <c r="AF31" s="2">
        <f>IFERROR(INDEX(Conversion!C:C,MATCH(Identity!A30,Conversion!A:A,0)),"")</f>
        <v/>
      </c>
      <c r="AG31" s="2">
        <f>IFERROR(INDEX(Conversion!D:D,MATCH(Identity!A30,Conversion!A:A,0)),"")</f>
        <v/>
      </c>
      <c r="AH31" s="2">
        <f>IFERROR(INDEX(Conversion!E:E,MATCH(Identity!A30,Conversion!A:A,0)),"")</f>
        <v/>
      </c>
      <c r="AI31" s="2">
        <f>IFERROR(INDEX(Conversion!F:F,MATCH(Identity!A30,Conversion!A:A,0)),"")</f>
        <v/>
      </c>
    </row>
    <row r="32">
      <c r="A32" s="2">
        <f>IF(Identity!A31="","",Identity!A31)</f>
        <v/>
      </c>
      <c r="B32" s="2">
        <f>IF(Identity!B31="","",Identity!B31)</f>
        <v/>
      </c>
      <c r="C32" s="2">
        <f>IF(Identity!C31="","",Identity!C31)</f>
        <v/>
      </c>
      <c r="D32" s="2">
        <f>IF(Identity!D31="","",Identity!D31)</f>
        <v/>
      </c>
      <c r="E32" s="2">
        <f>IF(Identity!E31="","",Identity!E31)</f>
        <v/>
      </c>
      <c r="F32" s="2">
        <f>IF(Identity!F31="","",Identity!F31)</f>
        <v/>
      </c>
      <c r="G32" s="2">
        <f>IFERROR(INDEX(Creative!B:B,MATCH(Identity!A31,Creative!A:A,0)),"")</f>
        <v/>
      </c>
      <c r="H32" s="2">
        <f>IFERROR(INDEX(Creative!C:C,MATCH(Identity!A31,Creative!A:A,0)),"")</f>
        <v/>
      </c>
      <c r="I32" s="2">
        <f>IFERROR(INDEX(Creative!D:D,MATCH(Identity!A31,Creative!A:A,0)),"")</f>
        <v/>
      </c>
      <c r="J32" s="2">
        <f>IFERROR(INDEX(Creative!E:E,MATCH(Identity!A31,Creative!A:A,0)),"")</f>
        <v/>
      </c>
      <c r="K32" s="2">
        <f>IFERROR(INDEX(Creative!F:F,MATCH(Identity!A31,Creative!A:A,0)),"")</f>
        <v/>
      </c>
      <c r="L32" s="2">
        <f>IFERROR(INDEX(Creative!G:G,MATCH(Identity!A31,Creative!A:A,0)),"")</f>
        <v/>
      </c>
      <c r="M32" s="2">
        <f>IFERROR(INDEX(Creative!H:H,MATCH(Identity!A31,Creative!A:A,0)),"")</f>
        <v/>
      </c>
      <c r="N32" s="2">
        <f>IFERROR(INDEX(Creative!I:I,MATCH(Identity!A31,Creative!A:A,0)),"")</f>
        <v/>
      </c>
      <c r="O32" s="2">
        <f>IFERROR(INDEX(Creative!J:J,MATCH(Identity!A31,Creative!A:A,0)),"")</f>
        <v/>
      </c>
      <c r="P32" s="2">
        <f>IFERROR(INDEX(Creative!K:K,MATCH(Identity!A31,Creative!A:A,0)),"")</f>
        <v/>
      </c>
      <c r="Q32" s="2">
        <f>IFERROR(INDEX(Creative!L:L,MATCH(Identity!A31,Creative!A:A,0)),"")</f>
        <v/>
      </c>
      <c r="R32" s="2">
        <f>IFERROR(INDEX(Creative!M:M,MATCH(Identity!A31,Creative!A:A,0)),"")</f>
        <v/>
      </c>
      <c r="S32" s="2">
        <f>IFERROR(INDEX(Creative!N:N,MATCH(Identity!A31,Creative!A:A,0)),"")</f>
        <v/>
      </c>
      <c r="T32" s="2">
        <f>IFERROR(INDEX(Creative!O:O,MATCH(Identity!A31,Creative!A:A,0)),"")</f>
        <v/>
      </c>
      <c r="U32" s="2">
        <f>IFERROR(INDEX(Creative!P:P,MATCH(Identity!A31,Creative!A:A,0)),"")</f>
        <v/>
      </c>
      <c r="V32" s="2">
        <f>IFERROR(INDEX(Creative!Q:Q,MATCH(Identity!A31,Creative!A:A,0)),"")</f>
        <v/>
      </c>
      <c r="W32" s="2">
        <f>IFERROR(INDEX(Performance!B:B,MATCH(Identity!A31,Performance!A:A,0)),"")</f>
        <v/>
      </c>
      <c r="X32" s="2">
        <f>IFERROR(INDEX(Performance!C:C,MATCH(Identity!A31,Performance!A:A,0)),"")</f>
        <v/>
      </c>
      <c r="Y32" s="2">
        <f>IFERROR(INDEX(Performance!D:D,MATCH(Identity!A31,Performance!A:A,0)),"")</f>
        <v/>
      </c>
      <c r="Z32" s="2">
        <f>IFERROR(INDEX(Performance!E:E,MATCH(Identity!A31,Performance!A:A,0)),"")</f>
        <v/>
      </c>
      <c r="AA32" s="2">
        <f>IFERROR(INDEX(Performance!F:F,MATCH(Identity!A31,Performance!A:A,0)),"")</f>
        <v/>
      </c>
      <c r="AB32" s="2">
        <f>IFERROR(INDEX(Performance!G:G,MATCH(Identity!A31,Performance!A:A,0)),"")</f>
        <v/>
      </c>
      <c r="AC32" s="2">
        <f>IFERROR(INDEX(Performance!H:H,MATCH(Identity!A31,Performance!A:A,0)),"")</f>
        <v/>
      </c>
      <c r="AD32" s="2">
        <f>IFERROR(INDEX(Performance!I:I,MATCH(Identity!A31,Performance!A:A,0)),"")</f>
        <v/>
      </c>
      <c r="AE32" s="2">
        <f>IFERROR(INDEX(Conversion!B:B,MATCH(Identity!A31,Conversion!A:A,0)),"")</f>
        <v/>
      </c>
      <c r="AF32" s="2">
        <f>IFERROR(INDEX(Conversion!C:C,MATCH(Identity!A31,Conversion!A:A,0)),"")</f>
        <v/>
      </c>
      <c r="AG32" s="2">
        <f>IFERROR(INDEX(Conversion!D:D,MATCH(Identity!A31,Conversion!A:A,0)),"")</f>
        <v/>
      </c>
      <c r="AH32" s="2">
        <f>IFERROR(INDEX(Conversion!E:E,MATCH(Identity!A31,Conversion!A:A,0)),"")</f>
        <v/>
      </c>
      <c r="AI32" s="2">
        <f>IFERROR(INDEX(Conversion!F:F,MATCH(Identity!A31,Conversion!A:A,0)),"")</f>
        <v/>
      </c>
    </row>
    <row r="33">
      <c r="A33" s="2">
        <f>IF(Identity!A32="","",Identity!A32)</f>
        <v/>
      </c>
      <c r="B33" s="2">
        <f>IF(Identity!B32="","",Identity!B32)</f>
        <v/>
      </c>
      <c r="C33" s="2">
        <f>IF(Identity!C32="","",Identity!C32)</f>
        <v/>
      </c>
      <c r="D33" s="2">
        <f>IF(Identity!D32="","",Identity!D32)</f>
        <v/>
      </c>
      <c r="E33" s="2">
        <f>IF(Identity!E32="","",Identity!E32)</f>
        <v/>
      </c>
      <c r="F33" s="2">
        <f>IF(Identity!F32="","",Identity!F32)</f>
        <v/>
      </c>
      <c r="G33" s="2">
        <f>IFERROR(INDEX(Creative!B:B,MATCH(Identity!A32,Creative!A:A,0)),"")</f>
        <v/>
      </c>
      <c r="H33" s="2">
        <f>IFERROR(INDEX(Creative!C:C,MATCH(Identity!A32,Creative!A:A,0)),"")</f>
        <v/>
      </c>
      <c r="I33" s="2">
        <f>IFERROR(INDEX(Creative!D:D,MATCH(Identity!A32,Creative!A:A,0)),"")</f>
        <v/>
      </c>
      <c r="J33" s="2">
        <f>IFERROR(INDEX(Creative!E:E,MATCH(Identity!A32,Creative!A:A,0)),"")</f>
        <v/>
      </c>
      <c r="K33" s="2">
        <f>IFERROR(INDEX(Creative!F:F,MATCH(Identity!A32,Creative!A:A,0)),"")</f>
        <v/>
      </c>
      <c r="L33" s="2">
        <f>IFERROR(INDEX(Creative!G:G,MATCH(Identity!A32,Creative!A:A,0)),"")</f>
        <v/>
      </c>
      <c r="M33" s="2">
        <f>IFERROR(INDEX(Creative!H:H,MATCH(Identity!A32,Creative!A:A,0)),"")</f>
        <v/>
      </c>
      <c r="N33" s="2">
        <f>IFERROR(INDEX(Creative!I:I,MATCH(Identity!A32,Creative!A:A,0)),"")</f>
        <v/>
      </c>
      <c r="O33" s="2">
        <f>IFERROR(INDEX(Creative!J:J,MATCH(Identity!A32,Creative!A:A,0)),"")</f>
        <v/>
      </c>
      <c r="P33" s="2">
        <f>IFERROR(INDEX(Creative!K:K,MATCH(Identity!A32,Creative!A:A,0)),"")</f>
        <v/>
      </c>
      <c r="Q33" s="2">
        <f>IFERROR(INDEX(Creative!L:L,MATCH(Identity!A32,Creative!A:A,0)),"")</f>
        <v/>
      </c>
      <c r="R33" s="2">
        <f>IFERROR(INDEX(Creative!M:M,MATCH(Identity!A32,Creative!A:A,0)),"")</f>
        <v/>
      </c>
      <c r="S33" s="2">
        <f>IFERROR(INDEX(Creative!N:N,MATCH(Identity!A32,Creative!A:A,0)),"")</f>
        <v/>
      </c>
      <c r="T33" s="2">
        <f>IFERROR(INDEX(Creative!O:O,MATCH(Identity!A32,Creative!A:A,0)),"")</f>
        <v/>
      </c>
      <c r="U33" s="2">
        <f>IFERROR(INDEX(Creative!P:P,MATCH(Identity!A32,Creative!A:A,0)),"")</f>
        <v/>
      </c>
      <c r="V33" s="2">
        <f>IFERROR(INDEX(Creative!Q:Q,MATCH(Identity!A32,Creative!A:A,0)),"")</f>
        <v/>
      </c>
      <c r="W33" s="2">
        <f>IFERROR(INDEX(Performance!B:B,MATCH(Identity!A32,Performance!A:A,0)),"")</f>
        <v/>
      </c>
      <c r="X33" s="2">
        <f>IFERROR(INDEX(Performance!C:C,MATCH(Identity!A32,Performance!A:A,0)),"")</f>
        <v/>
      </c>
      <c r="Y33" s="2">
        <f>IFERROR(INDEX(Performance!D:D,MATCH(Identity!A32,Performance!A:A,0)),"")</f>
        <v/>
      </c>
      <c r="Z33" s="2">
        <f>IFERROR(INDEX(Performance!E:E,MATCH(Identity!A32,Performance!A:A,0)),"")</f>
        <v/>
      </c>
      <c r="AA33" s="2">
        <f>IFERROR(INDEX(Performance!F:F,MATCH(Identity!A32,Performance!A:A,0)),"")</f>
        <v/>
      </c>
      <c r="AB33" s="2">
        <f>IFERROR(INDEX(Performance!G:G,MATCH(Identity!A32,Performance!A:A,0)),"")</f>
        <v/>
      </c>
      <c r="AC33" s="2">
        <f>IFERROR(INDEX(Performance!H:H,MATCH(Identity!A32,Performance!A:A,0)),"")</f>
        <v/>
      </c>
      <c r="AD33" s="2">
        <f>IFERROR(INDEX(Performance!I:I,MATCH(Identity!A32,Performance!A:A,0)),"")</f>
        <v/>
      </c>
      <c r="AE33" s="2">
        <f>IFERROR(INDEX(Conversion!B:B,MATCH(Identity!A32,Conversion!A:A,0)),"")</f>
        <v/>
      </c>
      <c r="AF33" s="2">
        <f>IFERROR(INDEX(Conversion!C:C,MATCH(Identity!A32,Conversion!A:A,0)),"")</f>
        <v/>
      </c>
      <c r="AG33" s="2">
        <f>IFERROR(INDEX(Conversion!D:D,MATCH(Identity!A32,Conversion!A:A,0)),"")</f>
        <v/>
      </c>
      <c r="AH33" s="2">
        <f>IFERROR(INDEX(Conversion!E:E,MATCH(Identity!A32,Conversion!A:A,0)),"")</f>
        <v/>
      </c>
      <c r="AI33" s="2">
        <f>IFERROR(INDEX(Conversion!F:F,MATCH(Identity!A32,Conversion!A:A,0)),"")</f>
        <v/>
      </c>
    </row>
    <row r="34">
      <c r="A34" s="2">
        <f>IF(Identity!A33="","",Identity!A33)</f>
        <v/>
      </c>
      <c r="B34" s="2">
        <f>IF(Identity!B33="","",Identity!B33)</f>
        <v/>
      </c>
      <c r="C34" s="2">
        <f>IF(Identity!C33="","",Identity!C33)</f>
        <v/>
      </c>
      <c r="D34" s="2">
        <f>IF(Identity!D33="","",Identity!D33)</f>
        <v/>
      </c>
      <c r="E34" s="2">
        <f>IF(Identity!E33="","",Identity!E33)</f>
        <v/>
      </c>
      <c r="F34" s="2">
        <f>IF(Identity!F33="","",Identity!F33)</f>
        <v/>
      </c>
      <c r="G34" s="2">
        <f>IFERROR(INDEX(Creative!B:B,MATCH(Identity!A33,Creative!A:A,0)),"")</f>
        <v/>
      </c>
      <c r="H34" s="2">
        <f>IFERROR(INDEX(Creative!C:C,MATCH(Identity!A33,Creative!A:A,0)),"")</f>
        <v/>
      </c>
      <c r="I34" s="2">
        <f>IFERROR(INDEX(Creative!D:D,MATCH(Identity!A33,Creative!A:A,0)),"")</f>
        <v/>
      </c>
      <c r="J34" s="2">
        <f>IFERROR(INDEX(Creative!E:E,MATCH(Identity!A33,Creative!A:A,0)),"")</f>
        <v/>
      </c>
      <c r="K34" s="2">
        <f>IFERROR(INDEX(Creative!F:F,MATCH(Identity!A33,Creative!A:A,0)),"")</f>
        <v/>
      </c>
      <c r="L34" s="2">
        <f>IFERROR(INDEX(Creative!G:G,MATCH(Identity!A33,Creative!A:A,0)),"")</f>
        <v/>
      </c>
      <c r="M34" s="2">
        <f>IFERROR(INDEX(Creative!H:H,MATCH(Identity!A33,Creative!A:A,0)),"")</f>
        <v/>
      </c>
      <c r="N34" s="2">
        <f>IFERROR(INDEX(Creative!I:I,MATCH(Identity!A33,Creative!A:A,0)),"")</f>
        <v/>
      </c>
      <c r="O34" s="2">
        <f>IFERROR(INDEX(Creative!J:J,MATCH(Identity!A33,Creative!A:A,0)),"")</f>
        <v/>
      </c>
      <c r="P34" s="2">
        <f>IFERROR(INDEX(Creative!K:K,MATCH(Identity!A33,Creative!A:A,0)),"")</f>
        <v/>
      </c>
      <c r="Q34" s="2">
        <f>IFERROR(INDEX(Creative!L:L,MATCH(Identity!A33,Creative!A:A,0)),"")</f>
        <v/>
      </c>
      <c r="R34" s="2">
        <f>IFERROR(INDEX(Creative!M:M,MATCH(Identity!A33,Creative!A:A,0)),"")</f>
        <v/>
      </c>
      <c r="S34" s="2">
        <f>IFERROR(INDEX(Creative!N:N,MATCH(Identity!A33,Creative!A:A,0)),"")</f>
        <v/>
      </c>
      <c r="T34" s="2">
        <f>IFERROR(INDEX(Creative!O:O,MATCH(Identity!A33,Creative!A:A,0)),"")</f>
        <v/>
      </c>
      <c r="U34" s="2">
        <f>IFERROR(INDEX(Creative!P:P,MATCH(Identity!A33,Creative!A:A,0)),"")</f>
        <v/>
      </c>
      <c r="V34" s="2">
        <f>IFERROR(INDEX(Creative!Q:Q,MATCH(Identity!A33,Creative!A:A,0)),"")</f>
        <v/>
      </c>
      <c r="W34" s="2">
        <f>IFERROR(INDEX(Performance!B:B,MATCH(Identity!A33,Performance!A:A,0)),"")</f>
        <v/>
      </c>
      <c r="X34" s="2">
        <f>IFERROR(INDEX(Performance!C:C,MATCH(Identity!A33,Performance!A:A,0)),"")</f>
        <v/>
      </c>
      <c r="Y34" s="2">
        <f>IFERROR(INDEX(Performance!D:D,MATCH(Identity!A33,Performance!A:A,0)),"")</f>
        <v/>
      </c>
      <c r="Z34" s="2">
        <f>IFERROR(INDEX(Performance!E:E,MATCH(Identity!A33,Performance!A:A,0)),"")</f>
        <v/>
      </c>
      <c r="AA34" s="2">
        <f>IFERROR(INDEX(Performance!F:F,MATCH(Identity!A33,Performance!A:A,0)),"")</f>
        <v/>
      </c>
      <c r="AB34" s="2">
        <f>IFERROR(INDEX(Performance!G:G,MATCH(Identity!A33,Performance!A:A,0)),"")</f>
        <v/>
      </c>
      <c r="AC34" s="2">
        <f>IFERROR(INDEX(Performance!H:H,MATCH(Identity!A33,Performance!A:A,0)),"")</f>
        <v/>
      </c>
      <c r="AD34" s="2">
        <f>IFERROR(INDEX(Performance!I:I,MATCH(Identity!A33,Performance!A:A,0)),"")</f>
        <v/>
      </c>
      <c r="AE34" s="2">
        <f>IFERROR(INDEX(Conversion!B:B,MATCH(Identity!A33,Conversion!A:A,0)),"")</f>
        <v/>
      </c>
      <c r="AF34" s="2">
        <f>IFERROR(INDEX(Conversion!C:C,MATCH(Identity!A33,Conversion!A:A,0)),"")</f>
        <v/>
      </c>
      <c r="AG34" s="2">
        <f>IFERROR(INDEX(Conversion!D:D,MATCH(Identity!A33,Conversion!A:A,0)),"")</f>
        <v/>
      </c>
      <c r="AH34" s="2">
        <f>IFERROR(INDEX(Conversion!E:E,MATCH(Identity!A33,Conversion!A:A,0)),"")</f>
        <v/>
      </c>
      <c r="AI34" s="2">
        <f>IFERROR(INDEX(Conversion!F:F,MATCH(Identity!A33,Conversion!A:A,0)),"")</f>
        <v/>
      </c>
    </row>
    <row r="35">
      <c r="A35" s="2">
        <f>IF(Identity!A34="","",Identity!A34)</f>
        <v/>
      </c>
      <c r="B35" s="2">
        <f>IF(Identity!B34="","",Identity!B34)</f>
        <v/>
      </c>
      <c r="C35" s="2">
        <f>IF(Identity!C34="","",Identity!C34)</f>
        <v/>
      </c>
      <c r="D35" s="2">
        <f>IF(Identity!D34="","",Identity!D34)</f>
        <v/>
      </c>
      <c r="E35" s="2">
        <f>IF(Identity!E34="","",Identity!E34)</f>
        <v/>
      </c>
      <c r="F35" s="2">
        <f>IF(Identity!F34="","",Identity!F34)</f>
        <v/>
      </c>
      <c r="G35" s="2">
        <f>IFERROR(INDEX(Creative!B:B,MATCH(Identity!A34,Creative!A:A,0)),"")</f>
        <v/>
      </c>
      <c r="H35" s="2">
        <f>IFERROR(INDEX(Creative!C:C,MATCH(Identity!A34,Creative!A:A,0)),"")</f>
        <v/>
      </c>
      <c r="I35" s="2">
        <f>IFERROR(INDEX(Creative!D:D,MATCH(Identity!A34,Creative!A:A,0)),"")</f>
        <v/>
      </c>
      <c r="J35" s="2">
        <f>IFERROR(INDEX(Creative!E:E,MATCH(Identity!A34,Creative!A:A,0)),"")</f>
        <v/>
      </c>
      <c r="K35" s="2">
        <f>IFERROR(INDEX(Creative!F:F,MATCH(Identity!A34,Creative!A:A,0)),"")</f>
        <v/>
      </c>
      <c r="L35" s="2">
        <f>IFERROR(INDEX(Creative!G:G,MATCH(Identity!A34,Creative!A:A,0)),"")</f>
        <v/>
      </c>
      <c r="M35" s="2">
        <f>IFERROR(INDEX(Creative!H:H,MATCH(Identity!A34,Creative!A:A,0)),"")</f>
        <v/>
      </c>
      <c r="N35" s="2">
        <f>IFERROR(INDEX(Creative!I:I,MATCH(Identity!A34,Creative!A:A,0)),"")</f>
        <v/>
      </c>
      <c r="O35" s="2">
        <f>IFERROR(INDEX(Creative!J:J,MATCH(Identity!A34,Creative!A:A,0)),"")</f>
        <v/>
      </c>
      <c r="P35" s="2">
        <f>IFERROR(INDEX(Creative!K:K,MATCH(Identity!A34,Creative!A:A,0)),"")</f>
        <v/>
      </c>
      <c r="Q35" s="2">
        <f>IFERROR(INDEX(Creative!L:L,MATCH(Identity!A34,Creative!A:A,0)),"")</f>
        <v/>
      </c>
      <c r="R35" s="2">
        <f>IFERROR(INDEX(Creative!M:M,MATCH(Identity!A34,Creative!A:A,0)),"")</f>
        <v/>
      </c>
      <c r="S35" s="2">
        <f>IFERROR(INDEX(Creative!N:N,MATCH(Identity!A34,Creative!A:A,0)),"")</f>
        <v/>
      </c>
      <c r="T35" s="2">
        <f>IFERROR(INDEX(Creative!O:O,MATCH(Identity!A34,Creative!A:A,0)),"")</f>
        <v/>
      </c>
      <c r="U35" s="2">
        <f>IFERROR(INDEX(Creative!P:P,MATCH(Identity!A34,Creative!A:A,0)),"")</f>
        <v/>
      </c>
      <c r="V35" s="2">
        <f>IFERROR(INDEX(Creative!Q:Q,MATCH(Identity!A34,Creative!A:A,0)),"")</f>
        <v/>
      </c>
      <c r="W35" s="2">
        <f>IFERROR(INDEX(Performance!B:B,MATCH(Identity!A34,Performance!A:A,0)),"")</f>
        <v/>
      </c>
      <c r="X35" s="2">
        <f>IFERROR(INDEX(Performance!C:C,MATCH(Identity!A34,Performance!A:A,0)),"")</f>
        <v/>
      </c>
      <c r="Y35" s="2">
        <f>IFERROR(INDEX(Performance!D:D,MATCH(Identity!A34,Performance!A:A,0)),"")</f>
        <v/>
      </c>
      <c r="Z35" s="2">
        <f>IFERROR(INDEX(Performance!E:E,MATCH(Identity!A34,Performance!A:A,0)),"")</f>
        <v/>
      </c>
      <c r="AA35" s="2">
        <f>IFERROR(INDEX(Performance!F:F,MATCH(Identity!A34,Performance!A:A,0)),"")</f>
        <v/>
      </c>
      <c r="AB35" s="2">
        <f>IFERROR(INDEX(Performance!G:G,MATCH(Identity!A34,Performance!A:A,0)),"")</f>
        <v/>
      </c>
      <c r="AC35" s="2">
        <f>IFERROR(INDEX(Performance!H:H,MATCH(Identity!A34,Performance!A:A,0)),"")</f>
        <v/>
      </c>
      <c r="AD35" s="2">
        <f>IFERROR(INDEX(Performance!I:I,MATCH(Identity!A34,Performance!A:A,0)),"")</f>
        <v/>
      </c>
      <c r="AE35" s="2">
        <f>IFERROR(INDEX(Conversion!B:B,MATCH(Identity!A34,Conversion!A:A,0)),"")</f>
        <v/>
      </c>
      <c r="AF35" s="2">
        <f>IFERROR(INDEX(Conversion!C:C,MATCH(Identity!A34,Conversion!A:A,0)),"")</f>
        <v/>
      </c>
      <c r="AG35" s="2">
        <f>IFERROR(INDEX(Conversion!D:D,MATCH(Identity!A34,Conversion!A:A,0)),"")</f>
        <v/>
      </c>
      <c r="AH35" s="2">
        <f>IFERROR(INDEX(Conversion!E:E,MATCH(Identity!A34,Conversion!A:A,0)),"")</f>
        <v/>
      </c>
      <c r="AI35" s="2">
        <f>IFERROR(INDEX(Conversion!F:F,MATCH(Identity!A34,Conversion!A:A,0)),"")</f>
        <v/>
      </c>
    </row>
    <row r="36">
      <c r="A36" s="2">
        <f>IF(Identity!A35="","",Identity!A35)</f>
        <v/>
      </c>
      <c r="B36" s="2">
        <f>IF(Identity!B35="","",Identity!B35)</f>
        <v/>
      </c>
      <c r="C36" s="2">
        <f>IF(Identity!C35="","",Identity!C35)</f>
        <v/>
      </c>
      <c r="D36" s="2">
        <f>IF(Identity!D35="","",Identity!D35)</f>
        <v/>
      </c>
      <c r="E36" s="2">
        <f>IF(Identity!E35="","",Identity!E35)</f>
        <v/>
      </c>
      <c r="F36" s="2">
        <f>IF(Identity!F35="","",Identity!F35)</f>
        <v/>
      </c>
      <c r="G36" s="2">
        <f>IFERROR(INDEX(Creative!B:B,MATCH(Identity!A35,Creative!A:A,0)),"")</f>
        <v/>
      </c>
      <c r="H36" s="2">
        <f>IFERROR(INDEX(Creative!C:C,MATCH(Identity!A35,Creative!A:A,0)),"")</f>
        <v/>
      </c>
      <c r="I36" s="2">
        <f>IFERROR(INDEX(Creative!D:D,MATCH(Identity!A35,Creative!A:A,0)),"")</f>
        <v/>
      </c>
      <c r="J36" s="2">
        <f>IFERROR(INDEX(Creative!E:E,MATCH(Identity!A35,Creative!A:A,0)),"")</f>
        <v/>
      </c>
      <c r="K36" s="2">
        <f>IFERROR(INDEX(Creative!F:F,MATCH(Identity!A35,Creative!A:A,0)),"")</f>
        <v/>
      </c>
      <c r="L36" s="2">
        <f>IFERROR(INDEX(Creative!G:G,MATCH(Identity!A35,Creative!A:A,0)),"")</f>
        <v/>
      </c>
      <c r="M36" s="2">
        <f>IFERROR(INDEX(Creative!H:H,MATCH(Identity!A35,Creative!A:A,0)),"")</f>
        <v/>
      </c>
      <c r="N36" s="2">
        <f>IFERROR(INDEX(Creative!I:I,MATCH(Identity!A35,Creative!A:A,0)),"")</f>
        <v/>
      </c>
      <c r="O36" s="2">
        <f>IFERROR(INDEX(Creative!J:J,MATCH(Identity!A35,Creative!A:A,0)),"")</f>
        <v/>
      </c>
      <c r="P36" s="2">
        <f>IFERROR(INDEX(Creative!K:K,MATCH(Identity!A35,Creative!A:A,0)),"")</f>
        <v/>
      </c>
      <c r="Q36" s="2">
        <f>IFERROR(INDEX(Creative!L:L,MATCH(Identity!A35,Creative!A:A,0)),"")</f>
        <v/>
      </c>
      <c r="R36" s="2">
        <f>IFERROR(INDEX(Creative!M:M,MATCH(Identity!A35,Creative!A:A,0)),"")</f>
        <v/>
      </c>
      <c r="S36" s="2">
        <f>IFERROR(INDEX(Creative!N:N,MATCH(Identity!A35,Creative!A:A,0)),"")</f>
        <v/>
      </c>
      <c r="T36" s="2">
        <f>IFERROR(INDEX(Creative!O:O,MATCH(Identity!A35,Creative!A:A,0)),"")</f>
        <v/>
      </c>
      <c r="U36" s="2">
        <f>IFERROR(INDEX(Creative!P:P,MATCH(Identity!A35,Creative!A:A,0)),"")</f>
        <v/>
      </c>
      <c r="V36" s="2">
        <f>IFERROR(INDEX(Creative!Q:Q,MATCH(Identity!A35,Creative!A:A,0)),"")</f>
        <v/>
      </c>
      <c r="W36" s="2">
        <f>IFERROR(INDEX(Performance!B:B,MATCH(Identity!A35,Performance!A:A,0)),"")</f>
        <v/>
      </c>
      <c r="X36" s="2">
        <f>IFERROR(INDEX(Performance!C:C,MATCH(Identity!A35,Performance!A:A,0)),"")</f>
        <v/>
      </c>
      <c r="Y36" s="2">
        <f>IFERROR(INDEX(Performance!D:D,MATCH(Identity!A35,Performance!A:A,0)),"")</f>
        <v/>
      </c>
      <c r="Z36" s="2">
        <f>IFERROR(INDEX(Performance!E:E,MATCH(Identity!A35,Performance!A:A,0)),"")</f>
        <v/>
      </c>
      <c r="AA36" s="2">
        <f>IFERROR(INDEX(Performance!F:F,MATCH(Identity!A35,Performance!A:A,0)),"")</f>
        <v/>
      </c>
      <c r="AB36" s="2">
        <f>IFERROR(INDEX(Performance!G:G,MATCH(Identity!A35,Performance!A:A,0)),"")</f>
        <v/>
      </c>
      <c r="AC36" s="2">
        <f>IFERROR(INDEX(Performance!H:H,MATCH(Identity!A35,Performance!A:A,0)),"")</f>
        <v/>
      </c>
      <c r="AD36" s="2">
        <f>IFERROR(INDEX(Performance!I:I,MATCH(Identity!A35,Performance!A:A,0)),"")</f>
        <v/>
      </c>
      <c r="AE36" s="2">
        <f>IFERROR(INDEX(Conversion!B:B,MATCH(Identity!A35,Conversion!A:A,0)),"")</f>
        <v/>
      </c>
      <c r="AF36" s="2">
        <f>IFERROR(INDEX(Conversion!C:C,MATCH(Identity!A35,Conversion!A:A,0)),"")</f>
        <v/>
      </c>
      <c r="AG36" s="2">
        <f>IFERROR(INDEX(Conversion!D:D,MATCH(Identity!A35,Conversion!A:A,0)),"")</f>
        <v/>
      </c>
      <c r="AH36" s="2">
        <f>IFERROR(INDEX(Conversion!E:E,MATCH(Identity!A35,Conversion!A:A,0)),"")</f>
        <v/>
      </c>
      <c r="AI36" s="2">
        <f>IFERROR(INDEX(Conversion!F:F,MATCH(Identity!A35,Conversion!A:A,0)),"")</f>
        <v/>
      </c>
    </row>
    <row r="37">
      <c r="A37" s="2">
        <f>IF(Identity!A36="","",Identity!A36)</f>
        <v/>
      </c>
      <c r="B37" s="2">
        <f>IF(Identity!B36="","",Identity!B36)</f>
        <v/>
      </c>
      <c r="C37" s="2">
        <f>IF(Identity!C36="","",Identity!C36)</f>
        <v/>
      </c>
      <c r="D37" s="2">
        <f>IF(Identity!D36="","",Identity!D36)</f>
        <v/>
      </c>
      <c r="E37" s="2">
        <f>IF(Identity!E36="","",Identity!E36)</f>
        <v/>
      </c>
      <c r="F37" s="2">
        <f>IF(Identity!F36="","",Identity!F36)</f>
        <v/>
      </c>
      <c r="G37" s="2">
        <f>IFERROR(INDEX(Creative!B:B,MATCH(Identity!A36,Creative!A:A,0)),"")</f>
        <v/>
      </c>
      <c r="H37" s="2">
        <f>IFERROR(INDEX(Creative!C:C,MATCH(Identity!A36,Creative!A:A,0)),"")</f>
        <v/>
      </c>
      <c r="I37" s="2">
        <f>IFERROR(INDEX(Creative!D:D,MATCH(Identity!A36,Creative!A:A,0)),"")</f>
        <v/>
      </c>
      <c r="J37" s="2">
        <f>IFERROR(INDEX(Creative!E:E,MATCH(Identity!A36,Creative!A:A,0)),"")</f>
        <v/>
      </c>
      <c r="K37" s="2">
        <f>IFERROR(INDEX(Creative!F:F,MATCH(Identity!A36,Creative!A:A,0)),"")</f>
        <v/>
      </c>
      <c r="L37" s="2">
        <f>IFERROR(INDEX(Creative!G:G,MATCH(Identity!A36,Creative!A:A,0)),"")</f>
        <v/>
      </c>
      <c r="M37" s="2">
        <f>IFERROR(INDEX(Creative!H:H,MATCH(Identity!A36,Creative!A:A,0)),"")</f>
        <v/>
      </c>
      <c r="N37" s="2">
        <f>IFERROR(INDEX(Creative!I:I,MATCH(Identity!A36,Creative!A:A,0)),"")</f>
        <v/>
      </c>
      <c r="O37" s="2">
        <f>IFERROR(INDEX(Creative!J:J,MATCH(Identity!A36,Creative!A:A,0)),"")</f>
        <v/>
      </c>
      <c r="P37" s="2">
        <f>IFERROR(INDEX(Creative!K:K,MATCH(Identity!A36,Creative!A:A,0)),"")</f>
        <v/>
      </c>
      <c r="Q37" s="2">
        <f>IFERROR(INDEX(Creative!L:L,MATCH(Identity!A36,Creative!A:A,0)),"")</f>
        <v/>
      </c>
      <c r="R37" s="2">
        <f>IFERROR(INDEX(Creative!M:M,MATCH(Identity!A36,Creative!A:A,0)),"")</f>
        <v/>
      </c>
      <c r="S37" s="2">
        <f>IFERROR(INDEX(Creative!N:N,MATCH(Identity!A36,Creative!A:A,0)),"")</f>
        <v/>
      </c>
      <c r="T37" s="2">
        <f>IFERROR(INDEX(Creative!O:O,MATCH(Identity!A36,Creative!A:A,0)),"")</f>
        <v/>
      </c>
      <c r="U37" s="2">
        <f>IFERROR(INDEX(Creative!P:P,MATCH(Identity!A36,Creative!A:A,0)),"")</f>
        <v/>
      </c>
      <c r="V37" s="2">
        <f>IFERROR(INDEX(Creative!Q:Q,MATCH(Identity!A36,Creative!A:A,0)),"")</f>
        <v/>
      </c>
      <c r="W37" s="2">
        <f>IFERROR(INDEX(Performance!B:B,MATCH(Identity!A36,Performance!A:A,0)),"")</f>
        <v/>
      </c>
      <c r="X37" s="2">
        <f>IFERROR(INDEX(Performance!C:C,MATCH(Identity!A36,Performance!A:A,0)),"")</f>
        <v/>
      </c>
      <c r="Y37" s="2">
        <f>IFERROR(INDEX(Performance!D:D,MATCH(Identity!A36,Performance!A:A,0)),"")</f>
        <v/>
      </c>
      <c r="Z37" s="2">
        <f>IFERROR(INDEX(Performance!E:E,MATCH(Identity!A36,Performance!A:A,0)),"")</f>
        <v/>
      </c>
      <c r="AA37" s="2">
        <f>IFERROR(INDEX(Performance!F:F,MATCH(Identity!A36,Performance!A:A,0)),"")</f>
        <v/>
      </c>
      <c r="AB37" s="2">
        <f>IFERROR(INDEX(Performance!G:G,MATCH(Identity!A36,Performance!A:A,0)),"")</f>
        <v/>
      </c>
      <c r="AC37" s="2">
        <f>IFERROR(INDEX(Performance!H:H,MATCH(Identity!A36,Performance!A:A,0)),"")</f>
        <v/>
      </c>
      <c r="AD37" s="2">
        <f>IFERROR(INDEX(Performance!I:I,MATCH(Identity!A36,Performance!A:A,0)),"")</f>
        <v/>
      </c>
      <c r="AE37" s="2">
        <f>IFERROR(INDEX(Conversion!B:B,MATCH(Identity!A36,Conversion!A:A,0)),"")</f>
        <v/>
      </c>
      <c r="AF37" s="2">
        <f>IFERROR(INDEX(Conversion!C:C,MATCH(Identity!A36,Conversion!A:A,0)),"")</f>
        <v/>
      </c>
      <c r="AG37" s="2">
        <f>IFERROR(INDEX(Conversion!D:D,MATCH(Identity!A36,Conversion!A:A,0)),"")</f>
        <v/>
      </c>
      <c r="AH37" s="2">
        <f>IFERROR(INDEX(Conversion!E:E,MATCH(Identity!A36,Conversion!A:A,0)),"")</f>
        <v/>
      </c>
      <c r="AI37" s="2">
        <f>IFERROR(INDEX(Conversion!F:F,MATCH(Identity!A36,Conversion!A:A,0)),"")</f>
        <v/>
      </c>
    </row>
    <row r="38">
      <c r="A38" s="2">
        <f>IF(Identity!A37="","",Identity!A37)</f>
        <v/>
      </c>
      <c r="B38" s="2">
        <f>IF(Identity!B37="","",Identity!B37)</f>
        <v/>
      </c>
      <c r="C38" s="2">
        <f>IF(Identity!C37="","",Identity!C37)</f>
        <v/>
      </c>
      <c r="D38" s="2">
        <f>IF(Identity!D37="","",Identity!D37)</f>
        <v/>
      </c>
      <c r="E38" s="2">
        <f>IF(Identity!E37="","",Identity!E37)</f>
        <v/>
      </c>
      <c r="F38" s="2">
        <f>IF(Identity!F37="","",Identity!F37)</f>
        <v/>
      </c>
      <c r="G38" s="2">
        <f>IFERROR(INDEX(Creative!B:B,MATCH(Identity!A37,Creative!A:A,0)),"")</f>
        <v/>
      </c>
      <c r="H38" s="2">
        <f>IFERROR(INDEX(Creative!C:C,MATCH(Identity!A37,Creative!A:A,0)),"")</f>
        <v/>
      </c>
      <c r="I38" s="2">
        <f>IFERROR(INDEX(Creative!D:D,MATCH(Identity!A37,Creative!A:A,0)),"")</f>
        <v/>
      </c>
      <c r="J38" s="2">
        <f>IFERROR(INDEX(Creative!E:E,MATCH(Identity!A37,Creative!A:A,0)),"")</f>
        <v/>
      </c>
      <c r="K38" s="2">
        <f>IFERROR(INDEX(Creative!F:F,MATCH(Identity!A37,Creative!A:A,0)),"")</f>
        <v/>
      </c>
      <c r="L38" s="2">
        <f>IFERROR(INDEX(Creative!G:G,MATCH(Identity!A37,Creative!A:A,0)),"")</f>
        <v/>
      </c>
      <c r="M38" s="2">
        <f>IFERROR(INDEX(Creative!H:H,MATCH(Identity!A37,Creative!A:A,0)),"")</f>
        <v/>
      </c>
      <c r="N38" s="2">
        <f>IFERROR(INDEX(Creative!I:I,MATCH(Identity!A37,Creative!A:A,0)),"")</f>
        <v/>
      </c>
      <c r="O38" s="2">
        <f>IFERROR(INDEX(Creative!J:J,MATCH(Identity!A37,Creative!A:A,0)),"")</f>
        <v/>
      </c>
      <c r="P38" s="2">
        <f>IFERROR(INDEX(Creative!K:K,MATCH(Identity!A37,Creative!A:A,0)),"")</f>
        <v/>
      </c>
      <c r="Q38" s="2">
        <f>IFERROR(INDEX(Creative!L:L,MATCH(Identity!A37,Creative!A:A,0)),"")</f>
        <v/>
      </c>
      <c r="R38" s="2">
        <f>IFERROR(INDEX(Creative!M:M,MATCH(Identity!A37,Creative!A:A,0)),"")</f>
        <v/>
      </c>
      <c r="S38" s="2">
        <f>IFERROR(INDEX(Creative!N:N,MATCH(Identity!A37,Creative!A:A,0)),"")</f>
        <v/>
      </c>
      <c r="T38" s="2">
        <f>IFERROR(INDEX(Creative!O:O,MATCH(Identity!A37,Creative!A:A,0)),"")</f>
        <v/>
      </c>
      <c r="U38" s="2">
        <f>IFERROR(INDEX(Creative!P:P,MATCH(Identity!A37,Creative!A:A,0)),"")</f>
        <v/>
      </c>
      <c r="V38" s="2">
        <f>IFERROR(INDEX(Creative!Q:Q,MATCH(Identity!A37,Creative!A:A,0)),"")</f>
        <v/>
      </c>
      <c r="W38" s="2">
        <f>IFERROR(INDEX(Performance!B:B,MATCH(Identity!A37,Performance!A:A,0)),"")</f>
        <v/>
      </c>
      <c r="X38" s="2">
        <f>IFERROR(INDEX(Performance!C:C,MATCH(Identity!A37,Performance!A:A,0)),"")</f>
        <v/>
      </c>
      <c r="Y38" s="2">
        <f>IFERROR(INDEX(Performance!D:D,MATCH(Identity!A37,Performance!A:A,0)),"")</f>
        <v/>
      </c>
      <c r="Z38" s="2">
        <f>IFERROR(INDEX(Performance!E:E,MATCH(Identity!A37,Performance!A:A,0)),"")</f>
        <v/>
      </c>
      <c r="AA38" s="2">
        <f>IFERROR(INDEX(Performance!F:F,MATCH(Identity!A37,Performance!A:A,0)),"")</f>
        <v/>
      </c>
      <c r="AB38" s="2">
        <f>IFERROR(INDEX(Performance!G:G,MATCH(Identity!A37,Performance!A:A,0)),"")</f>
        <v/>
      </c>
      <c r="AC38" s="2">
        <f>IFERROR(INDEX(Performance!H:H,MATCH(Identity!A37,Performance!A:A,0)),"")</f>
        <v/>
      </c>
      <c r="AD38" s="2">
        <f>IFERROR(INDEX(Performance!I:I,MATCH(Identity!A37,Performance!A:A,0)),"")</f>
        <v/>
      </c>
      <c r="AE38" s="2">
        <f>IFERROR(INDEX(Conversion!B:B,MATCH(Identity!A37,Conversion!A:A,0)),"")</f>
        <v/>
      </c>
      <c r="AF38" s="2">
        <f>IFERROR(INDEX(Conversion!C:C,MATCH(Identity!A37,Conversion!A:A,0)),"")</f>
        <v/>
      </c>
      <c r="AG38" s="2">
        <f>IFERROR(INDEX(Conversion!D:D,MATCH(Identity!A37,Conversion!A:A,0)),"")</f>
        <v/>
      </c>
      <c r="AH38" s="2">
        <f>IFERROR(INDEX(Conversion!E:E,MATCH(Identity!A37,Conversion!A:A,0)),"")</f>
        <v/>
      </c>
      <c r="AI38" s="2">
        <f>IFERROR(INDEX(Conversion!F:F,MATCH(Identity!A37,Conversion!A:A,0)),"")</f>
        <v/>
      </c>
    </row>
    <row r="39">
      <c r="A39" s="2">
        <f>IF(Identity!A38="","",Identity!A38)</f>
        <v/>
      </c>
      <c r="B39" s="2">
        <f>IF(Identity!B38="","",Identity!B38)</f>
        <v/>
      </c>
      <c r="C39" s="2">
        <f>IF(Identity!C38="","",Identity!C38)</f>
        <v/>
      </c>
      <c r="D39" s="2">
        <f>IF(Identity!D38="","",Identity!D38)</f>
        <v/>
      </c>
      <c r="E39" s="2">
        <f>IF(Identity!E38="","",Identity!E38)</f>
        <v/>
      </c>
      <c r="F39" s="2">
        <f>IF(Identity!F38="","",Identity!F38)</f>
        <v/>
      </c>
      <c r="G39" s="2">
        <f>IFERROR(INDEX(Creative!B:B,MATCH(Identity!A38,Creative!A:A,0)),"")</f>
        <v/>
      </c>
      <c r="H39" s="2">
        <f>IFERROR(INDEX(Creative!C:C,MATCH(Identity!A38,Creative!A:A,0)),"")</f>
        <v/>
      </c>
      <c r="I39" s="2">
        <f>IFERROR(INDEX(Creative!D:D,MATCH(Identity!A38,Creative!A:A,0)),"")</f>
        <v/>
      </c>
      <c r="J39" s="2">
        <f>IFERROR(INDEX(Creative!E:E,MATCH(Identity!A38,Creative!A:A,0)),"")</f>
        <v/>
      </c>
      <c r="K39" s="2">
        <f>IFERROR(INDEX(Creative!F:F,MATCH(Identity!A38,Creative!A:A,0)),"")</f>
        <v/>
      </c>
      <c r="L39" s="2">
        <f>IFERROR(INDEX(Creative!G:G,MATCH(Identity!A38,Creative!A:A,0)),"")</f>
        <v/>
      </c>
      <c r="M39" s="2">
        <f>IFERROR(INDEX(Creative!H:H,MATCH(Identity!A38,Creative!A:A,0)),"")</f>
        <v/>
      </c>
      <c r="N39" s="2">
        <f>IFERROR(INDEX(Creative!I:I,MATCH(Identity!A38,Creative!A:A,0)),"")</f>
        <v/>
      </c>
      <c r="O39" s="2">
        <f>IFERROR(INDEX(Creative!J:J,MATCH(Identity!A38,Creative!A:A,0)),"")</f>
        <v/>
      </c>
      <c r="P39" s="2">
        <f>IFERROR(INDEX(Creative!K:K,MATCH(Identity!A38,Creative!A:A,0)),"")</f>
        <v/>
      </c>
      <c r="Q39" s="2">
        <f>IFERROR(INDEX(Creative!L:L,MATCH(Identity!A38,Creative!A:A,0)),"")</f>
        <v/>
      </c>
      <c r="R39" s="2">
        <f>IFERROR(INDEX(Creative!M:M,MATCH(Identity!A38,Creative!A:A,0)),"")</f>
        <v/>
      </c>
      <c r="S39" s="2">
        <f>IFERROR(INDEX(Creative!N:N,MATCH(Identity!A38,Creative!A:A,0)),"")</f>
        <v/>
      </c>
      <c r="T39" s="2">
        <f>IFERROR(INDEX(Creative!O:O,MATCH(Identity!A38,Creative!A:A,0)),"")</f>
        <v/>
      </c>
      <c r="U39" s="2">
        <f>IFERROR(INDEX(Creative!P:P,MATCH(Identity!A38,Creative!A:A,0)),"")</f>
        <v/>
      </c>
      <c r="V39" s="2">
        <f>IFERROR(INDEX(Creative!Q:Q,MATCH(Identity!A38,Creative!A:A,0)),"")</f>
        <v/>
      </c>
      <c r="W39" s="2">
        <f>IFERROR(INDEX(Performance!B:B,MATCH(Identity!A38,Performance!A:A,0)),"")</f>
        <v/>
      </c>
      <c r="X39" s="2">
        <f>IFERROR(INDEX(Performance!C:C,MATCH(Identity!A38,Performance!A:A,0)),"")</f>
        <v/>
      </c>
      <c r="Y39" s="2">
        <f>IFERROR(INDEX(Performance!D:D,MATCH(Identity!A38,Performance!A:A,0)),"")</f>
        <v/>
      </c>
      <c r="Z39" s="2">
        <f>IFERROR(INDEX(Performance!E:E,MATCH(Identity!A38,Performance!A:A,0)),"")</f>
        <v/>
      </c>
      <c r="AA39" s="2">
        <f>IFERROR(INDEX(Performance!F:F,MATCH(Identity!A38,Performance!A:A,0)),"")</f>
        <v/>
      </c>
      <c r="AB39" s="2">
        <f>IFERROR(INDEX(Performance!G:G,MATCH(Identity!A38,Performance!A:A,0)),"")</f>
        <v/>
      </c>
      <c r="AC39" s="2">
        <f>IFERROR(INDEX(Performance!H:H,MATCH(Identity!A38,Performance!A:A,0)),"")</f>
        <v/>
      </c>
      <c r="AD39" s="2">
        <f>IFERROR(INDEX(Performance!I:I,MATCH(Identity!A38,Performance!A:A,0)),"")</f>
        <v/>
      </c>
      <c r="AE39" s="2">
        <f>IFERROR(INDEX(Conversion!B:B,MATCH(Identity!A38,Conversion!A:A,0)),"")</f>
        <v/>
      </c>
      <c r="AF39" s="2">
        <f>IFERROR(INDEX(Conversion!C:C,MATCH(Identity!A38,Conversion!A:A,0)),"")</f>
        <v/>
      </c>
      <c r="AG39" s="2">
        <f>IFERROR(INDEX(Conversion!D:D,MATCH(Identity!A38,Conversion!A:A,0)),"")</f>
        <v/>
      </c>
      <c r="AH39" s="2">
        <f>IFERROR(INDEX(Conversion!E:E,MATCH(Identity!A38,Conversion!A:A,0)),"")</f>
        <v/>
      </c>
      <c r="AI39" s="2">
        <f>IFERROR(INDEX(Conversion!F:F,MATCH(Identity!A38,Conversion!A:A,0)),"")</f>
        <v/>
      </c>
    </row>
    <row r="40">
      <c r="A40" s="2">
        <f>IF(Identity!A39="","",Identity!A39)</f>
        <v/>
      </c>
      <c r="B40" s="2">
        <f>IF(Identity!B39="","",Identity!B39)</f>
        <v/>
      </c>
      <c r="C40" s="2">
        <f>IF(Identity!C39="","",Identity!C39)</f>
        <v/>
      </c>
      <c r="D40" s="2">
        <f>IF(Identity!D39="","",Identity!D39)</f>
        <v/>
      </c>
      <c r="E40" s="2">
        <f>IF(Identity!E39="","",Identity!E39)</f>
        <v/>
      </c>
      <c r="F40" s="2">
        <f>IF(Identity!F39="","",Identity!F39)</f>
        <v/>
      </c>
      <c r="G40" s="2">
        <f>IFERROR(INDEX(Creative!B:B,MATCH(Identity!A39,Creative!A:A,0)),"")</f>
        <v/>
      </c>
      <c r="H40" s="2">
        <f>IFERROR(INDEX(Creative!C:C,MATCH(Identity!A39,Creative!A:A,0)),"")</f>
        <v/>
      </c>
      <c r="I40" s="2">
        <f>IFERROR(INDEX(Creative!D:D,MATCH(Identity!A39,Creative!A:A,0)),"")</f>
        <v/>
      </c>
      <c r="J40" s="2">
        <f>IFERROR(INDEX(Creative!E:E,MATCH(Identity!A39,Creative!A:A,0)),"")</f>
        <v/>
      </c>
      <c r="K40" s="2">
        <f>IFERROR(INDEX(Creative!F:F,MATCH(Identity!A39,Creative!A:A,0)),"")</f>
        <v/>
      </c>
      <c r="L40" s="2">
        <f>IFERROR(INDEX(Creative!G:G,MATCH(Identity!A39,Creative!A:A,0)),"")</f>
        <v/>
      </c>
      <c r="M40" s="2">
        <f>IFERROR(INDEX(Creative!H:H,MATCH(Identity!A39,Creative!A:A,0)),"")</f>
        <v/>
      </c>
      <c r="N40" s="2">
        <f>IFERROR(INDEX(Creative!I:I,MATCH(Identity!A39,Creative!A:A,0)),"")</f>
        <v/>
      </c>
      <c r="O40" s="2">
        <f>IFERROR(INDEX(Creative!J:J,MATCH(Identity!A39,Creative!A:A,0)),"")</f>
        <v/>
      </c>
      <c r="P40" s="2">
        <f>IFERROR(INDEX(Creative!K:K,MATCH(Identity!A39,Creative!A:A,0)),"")</f>
        <v/>
      </c>
      <c r="Q40" s="2">
        <f>IFERROR(INDEX(Creative!L:L,MATCH(Identity!A39,Creative!A:A,0)),"")</f>
        <v/>
      </c>
      <c r="R40" s="2">
        <f>IFERROR(INDEX(Creative!M:M,MATCH(Identity!A39,Creative!A:A,0)),"")</f>
        <v/>
      </c>
      <c r="S40" s="2">
        <f>IFERROR(INDEX(Creative!N:N,MATCH(Identity!A39,Creative!A:A,0)),"")</f>
        <v/>
      </c>
      <c r="T40" s="2">
        <f>IFERROR(INDEX(Creative!O:O,MATCH(Identity!A39,Creative!A:A,0)),"")</f>
        <v/>
      </c>
      <c r="U40" s="2">
        <f>IFERROR(INDEX(Creative!P:P,MATCH(Identity!A39,Creative!A:A,0)),"")</f>
        <v/>
      </c>
      <c r="V40" s="2">
        <f>IFERROR(INDEX(Creative!Q:Q,MATCH(Identity!A39,Creative!A:A,0)),"")</f>
        <v/>
      </c>
      <c r="W40" s="2">
        <f>IFERROR(INDEX(Performance!B:B,MATCH(Identity!A39,Performance!A:A,0)),"")</f>
        <v/>
      </c>
      <c r="X40" s="2">
        <f>IFERROR(INDEX(Performance!C:C,MATCH(Identity!A39,Performance!A:A,0)),"")</f>
        <v/>
      </c>
      <c r="Y40" s="2">
        <f>IFERROR(INDEX(Performance!D:D,MATCH(Identity!A39,Performance!A:A,0)),"")</f>
        <v/>
      </c>
      <c r="Z40" s="2">
        <f>IFERROR(INDEX(Performance!E:E,MATCH(Identity!A39,Performance!A:A,0)),"")</f>
        <v/>
      </c>
      <c r="AA40" s="2">
        <f>IFERROR(INDEX(Performance!F:F,MATCH(Identity!A39,Performance!A:A,0)),"")</f>
        <v/>
      </c>
      <c r="AB40" s="2">
        <f>IFERROR(INDEX(Performance!G:G,MATCH(Identity!A39,Performance!A:A,0)),"")</f>
        <v/>
      </c>
      <c r="AC40" s="2">
        <f>IFERROR(INDEX(Performance!H:H,MATCH(Identity!A39,Performance!A:A,0)),"")</f>
        <v/>
      </c>
      <c r="AD40" s="2">
        <f>IFERROR(INDEX(Performance!I:I,MATCH(Identity!A39,Performance!A:A,0)),"")</f>
        <v/>
      </c>
      <c r="AE40" s="2">
        <f>IFERROR(INDEX(Conversion!B:B,MATCH(Identity!A39,Conversion!A:A,0)),"")</f>
        <v/>
      </c>
      <c r="AF40" s="2">
        <f>IFERROR(INDEX(Conversion!C:C,MATCH(Identity!A39,Conversion!A:A,0)),"")</f>
        <v/>
      </c>
      <c r="AG40" s="2">
        <f>IFERROR(INDEX(Conversion!D:D,MATCH(Identity!A39,Conversion!A:A,0)),"")</f>
        <v/>
      </c>
      <c r="AH40" s="2">
        <f>IFERROR(INDEX(Conversion!E:E,MATCH(Identity!A39,Conversion!A:A,0)),"")</f>
        <v/>
      </c>
      <c r="AI40" s="2">
        <f>IFERROR(INDEX(Conversion!F:F,MATCH(Identity!A39,Conversion!A:A,0)),"")</f>
        <v/>
      </c>
    </row>
    <row r="41">
      <c r="A41" s="2">
        <f>IF(Identity!A40="","",Identity!A40)</f>
        <v/>
      </c>
      <c r="B41" s="2">
        <f>IF(Identity!B40="","",Identity!B40)</f>
        <v/>
      </c>
      <c r="C41" s="2">
        <f>IF(Identity!C40="","",Identity!C40)</f>
        <v/>
      </c>
      <c r="D41" s="2">
        <f>IF(Identity!D40="","",Identity!D40)</f>
        <v/>
      </c>
      <c r="E41" s="2">
        <f>IF(Identity!E40="","",Identity!E40)</f>
        <v/>
      </c>
      <c r="F41" s="2">
        <f>IF(Identity!F40="","",Identity!F40)</f>
        <v/>
      </c>
      <c r="G41" s="2">
        <f>IFERROR(INDEX(Creative!B:B,MATCH(Identity!A40,Creative!A:A,0)),"")</f>
        <v/>
      </c>
      <c r="H41" s="2">
        <f>IFERROR(INDEX(Creative!C:C,MATCH(Identity!A40,Creative!A:A,0)),"")</f>
        <v/>
      </c>
      <c r="I41" s="2">
        <f>IFERROR(INDEX(Creative!D:D,MATCH(Identity!A40,Creative!A:A,0)),"")</f>
        <v/>
      </c>
      <c r="J41" s="2">
        <f>IFERROR(INDEX(Creative!E:E,MATCH(Identity!A40,Creative!A:A,0)),"")</f>
        <v/>
      </c>
      <c r="K41" s="2">
        <f>IFERROR(INDEX(Creative!F:F,MATCH(Identity!A40,Creative!A:A,0)),"")</f>
        <v/>
      </c>
      <c r="L41" s="2">
        <f>IFERROR(INDEX(Creative!G:G,MATCH(Identity!A40,Creative!A:A,0)),"")</f>
        <v/>
      </c>
      <c r="M41" s="2">
        <f>IFERROR(INDEX(Creative!H:H,MATCH(Identity!A40,Creative!A:A,0)),"")</f>
        <v/>
      </c>
      <c r="N41" s="2">
        <f>IFERROR(INDEX(Creative!I:I,MATCH(Identity!A40,Creative!A:A,0)),"")</f>
        <v/>
      </c>
      <c r="O41" s="2">
        <f>IFERROR(INDEX(Creative!J:J,MATCH(Identity!A40,Creative!A:A,0)),"")</f>
        <v/>
      </c>
      <c r="P41" s="2">
        <f>IFERROR(INDEX(Creative!K:K,MATCH(Identity!A40,Creative!A:A,0)),"")</f>
        <v/>
      </c>
      <c r="Q41" s="2">
        <f>IFERROR(INDEX(Creative!L:L,MATCH(Identity!A40,Creative!A:A,0)),"")</f>
        <v/>
      </c>
      <c r="R41" s="2">
        <f>IFERROR(INDEX(Creative!M:M,MATCH(Identity!A40,Creative!A:A,0)),"")</f>
        <v/>
      </c>
      <c r="S41" s="2">
        <f>IFERROR(INDEX(Creative!N:N,MATCH(Identity!A40,Creative!A:A,0)),"")</f>
        <v/>
      </c>
      <c r="T41" s="2">
        <f>IFERROR(INDEX(Creative!O:O,MATCH(Identity!A40,Creative!A:A,0)),"")</f>
        <v/>
      </c>
      <c r="U41" s="2">
        <f>IFERROR(INDEX(Creative!P:P,MATCH(Identity!A40,Creative!A:A,0)),"")</f>
        <v/>
      </c>
      <c r="V41" s="2">
        <f>IFERROR(INDEX(Creative!Q:Q,MATCH(Identity!A40,Creative!A:A,0)),"")</f>
        <v/>
      </c>
      <c r="W41" s="2">
        <f>IFERROR(INDEX(Performance!B:B,MATCH(Identity!A40,Performance!A:A,0)),"")</f>
        <v/>
      </c>
      <c r="X41" s="2">
        <f>IFERROR(INDEX(Performance!C:C,MATCH(Identity!A40,Performance!A:A,0)),"")</f>
        <v/>
      </c>
      <c r="Y41" s="2">
        <f>IFERROR(INDEX(Performance!D:D,MATCH(Identity!A40,Performance!A:A,0)),"")</f>
        <v/>
      </c>
      <c r="Z41" s="2">
        <f>IFERROR(INDEX(Performance!E:E,MATCH(Identity!A40,Performance!A:A,0)),"")</f>
        <v/>
      </c>
      <c r="AA41" s="2">
        <f>IFERROR(INDEX(Performance!F:F,MATCH(Identity!A40,Performance!A:A,0)),"")</f>
        <v/>
      </c>
      <c r="AB41" s="2">
        <f>IFERROR(INDEX(Performance!G:G,MATCH(Identity!A40,Performance!A:A,0)),"")</f>
        <v/>
      </c>
      <c r="AC41" s="2">
        <f>IFERROR(INDEX(Performance!H:H,MATCH(Identity!A40,Performance!A:A,0)),"")</f>
        <v/>
      </c>
      <c r="AD41" s="2">
        <f>IFERROR(INDEX(Performance!I:I,MATCH(Identity!A40,Performance!A:A,0)),"")</f>
        <v/>
      </c>
      <c r="AE41" s="2">
        <f>IFERROR(INDEX(Conversion!B:B,MATCH(Identity!A40,Conversion!A:A,0)),"")</f>
        <v/>
      </c>
      <c r="AF41" s="2">
        <f>IFERROR(INDEX(Conversion!C:C,MATCH(Identity!A40,Conversion!A:A,0)),"")</f>
        <v/>
      </c>
      <c r="AG41" s="2">
        <f>IFERROR(INDEX(Conversion!D:D,MATCH(Identity!A40,Conversion!A:A,0)),"")</f>
        <v/>
      </c>
      <c r="AH41" s="2">
        <f>IFERROR(INDEX(Conversion!E:E,MATCH(Identity!A40,Conversion!A:A,0)),"")</f>
        <v/>
      </c>
      <c r="AI41" s="2">
        <f>IFERROR(INDEX(Conversion!F:F,MATCH(Identity!A40,Conversion!A:A,0)),"")</f>
        <v/>
      </c>
    </row>
    <row r="42">
      <c r="A42" s="2">
        <f>IF(Identity!A41="","",Identity!A41)</f>
        <v/>
      </c>
      <c r="B42" s="2">
        <f>IF(Identity!B41="","",Identity!B41)</f>
        <v/>
      </c>
      <c r="C42" s="2">
        <f>IF(Identity!C41="","",Identity!C41)</f>
        <v/>
      </c>
      <c r="D42" s="2">
        <f>IF(Identity!D41="","",Identity!D41)</f>
        <v/>
      </c>
      <c r="E42" s="2">
        <f>IF(Identity!E41="","",Identity!E41)</f>
        <v/>
      </c>
      <c r="F42" s="2">
        <f>IF(Identity!F41="","",Identity!F41)</f>
        <v/>
      </c>
      <c r="G42" s="2">
        <f>IFERROR(INDEX(Creative!B:B,MATCH(Identity!A41,Creative!A:A,0)),"")</f>
        <v/>
      </c>
      <c r="H42" s="2">
        <f>IFERROR(INDEX(Creative!C:C,MATCH(Identity!A41,Creative!A:A,0)),"")</f>
        <v/>
      </c>
      <c r="I42" s="2">
        <f>IFERROR(INDEX(Creative!D:D,MATCH(Identity!A41,Creative!A:A,0)),"")</f>
        <v/>
      </c>
      <c r="J42" s="2">
        <f>IFERROR(INDEX(Creative!E:E,MATCH(Identity!A41,Creative!A:A,0)),"")</f>
        <v/>
      </c>
      <c r="K42" s="2">
        <f>IFERROR(INDEX(Creative!F:F,MATCH(Identity!A41,Creative!A:A,0)),"")</f>
        <v/>
      </c>
      <c r="L42" s="2">
        <f>IFERROR(INDEX(Creative!G:G,MATCH(Identity!A41,Creative!A:A,0)),"")</f>
        <v/>
      </c>
      <c r="M42" s="2">
        <f>IFERROR(INDEX(Creative!H:H,MATCH(Identity!A41,Creative!A:A,0)),"")</f>
        <v/>
      </c>
      <c r="N42" s="2">
        <f>IFERROR(INDEX(Creative!I:I,MATCH(Identity!A41,Creative!A:A,0)),"")</f>
        <v/>
      </c>
      <c r="O42" s="2">
        <f>IFERROR(INDEX(Creative!J:J,MATCH(Identity!A41,Creative!A:A,0)),"")</f>
        <v/>
      </c>
      <c r="P42" s="2">
        <f>IFERROR(INDEX(Creative!K:K,MATCH(Identity!A41,Creative!A:A,0)),"")</f>
        <v/>
      </c>
      <c r="Q42" s="2">
        <f>IFERROR(INDEX(Creative!L:L,MATCH(Identity!A41,Creative!A:A,0)),"")</f>
        <v/>
      </c>
      <c r="R42" s="2">
        <f>IFERROR(INDEX(Creative!M:M,MATCH(Identity!A41,Creative!A:A,0)),"")</f>
        <v/>
      </c>
      <c r="S42" s="2">
        <f>IFERROR(INDEX(Creative!N:N,MATCH(Identity!A41,Creative!A:A,0)),"")</f>
        <v/>
      </c>
      <c r="T42" s="2">
        <f>IFERROR(INDEX(Creative!O:O,MATCH(Identity!A41,Creative!A:A,0)),"")</f>
        <v/>
      </c>
      <c r="U42" s="2">
        <f>IFERROR(INDEX(Creative!P:P,MATCH(Identity!A41,Creative!A:A,0)),"")</f>
        <v/>
      </c>
      <c r="V42" s="2">
        <f>IFERROR(INDEX(Creative!Q:Q,MATCH(Identity!A41,Creative!A:A,0)),"")</f>
        <v/>
      </c>
      <c r="W42" s="2">
        <f>IFERROR(INDEX(Performance!B:B,MATCH(Identity!A41,Performance!A:A,0)),"")</f>
        <v/>
      </c>
      <c r="X42" s="2">
        <f>IFERROR(INDEX(Performance!C:C,MATCH(Identity!A41,Performance!A:A,0)),"")</f>
        <v/>
      </c>
      <c r="Y42" s="2">
        <f>IFERROR(INDEX(Performance!D:D,MATCH(Identity!A41,Performance!A:A,0)),"")</f>
        <v/>
      </c>
      <c r="Z42" s="2">
        <f>IFERROR(INDEX(Performance!E:E,MATCH(Identity!A41,Performance!A:A,0)),"")</f>
        <v/>
      </c>
      <c r="AA42" s="2">
        <f>IFERROR(INDEX(Performance!F:F,MATCH(Identity!A41,Performance!A:A,0)),"")</f>
        <v/>
      </c>
      <c r="AB42" s="2">
        <f>IFERROR(INDEX(Performance!G:G,MATCH(Identity!A41,Performance!A:A,0)),"")</f>
        <v/>
      </c>
      <c r="AC42" s="2">
        <f>IFERROR(INDEX(Performance!H:H,MATCH(Identity!A41,Performance!A:A,0)),"")</f>
        <v/>
      </c>
      <c r="AD42" s="2">
        <f>IFERROR(INDEX(Performance!I:I,MATCH(Identity!A41,Performance!A:A,0)),"")</f>
        <v/>
      </c>
      <c r="AE42" s="2">
        <f>IFERROR(INDEX(Conversion!B:B,MATCH(Identity!A41,Conversion!A:A,0)),"")</f>
        <v/>
      </c>
      <c r="AF42" s="2">
        <f>IFERROR(INDEX(Conversion!C:C,MATCH(Identity!A41,Conversion!A:A,0)),"")</f>
        <v/>
      </c>
      <c r="AG42" s="2">
        <f>IFERROR(INDEX(Conversion!D:D,MATCH(Identity!A41,Conversion!A:A,0)),"")</f>
        <v/>
      </c>
      <c r="AH42" s="2">
        <f>IFERROR(INDEX(Conversion!E:E,MATCH(Identity!A41,Conversion!A:A,0)),"")</f>
        <v/>
      </c>
      <c r="AI42" s="2">
        <f>IFERROR(INDEX(Conversion!F:F,MATCH(Identity!A41,Conversion!A:A,0)),"")</f>
        <v/>
      </c>
    </row>
    <row r="43">
      <c r="A43" s="2">
        <f>IF(Identity!A42="","",Identity!A42)</f>
        <v/>
      </c>
      <c r="B43" s="2">
        <f>IF(Identity!B42="","",Identity!B42)</f>
        <v/>
      </c>
      <c r="C43" s="2">
        <f>IF(Identity!C42="","",Identity!C42)</f>
        <v/>
      </c>
      <c r="D43" s="2">
        <f>IF(Identity!D42="","",Identity!D42)</f>
        <v/>
      </c>
      <c r="E43" s="2">
        <f>IF(Identity!E42="","",Identity!E42)</f>
        <v/>
      </c>
      <c r="F43" s="2">
        <f>IF(Identity!F42="","",Identity!F42)</f>
        <v/>
      </c>
      <c r="G43" s="2">
        <f>IFERROR(INDEX(Creative!B:B,MATCH(Identity!A42,Creative!A:A,0)),"")</f>
        <v/>
      </c>
      <c r="H43" s="2">
        <f>IFERROR(INDEX(Creative!C:C,MATCH(Identity!A42,Creative!A:A,0)),"")</f>
        <v/>
      </c>
      <c r="I43" s="2">
        <f>IFERROR(INDEX(Creative!D:D,MATCH(Identity!A42,Creative!A:A,0)),"")</f>
        <v/>
      </c>
      <c r="J43" s="2">
        <f>IFERROR(INDEX(Creative!E:E,MATCH(Identity!A42,Creative!A:A,0)),"")</f>
        <v/>
      </c>
      <c r="K43" s="2">
        <f>IFERROR(INDEX(Creative!F:F,MATCH(Identity!A42,Creative!A:A,0)),"")</f>
        <v/>
      </c>
      <c r="L43" s="2">
        <f>IFERROR(INDEX(Creative!G:G,MATCH(Identity!A42,Creative!A:A,0)),"")</f>
        <v/>
      </c>
      <c r="M43" s="2">
        <f>IFERROR(INDEX(Creative!H:H,MATCH(Identity!A42,Creative!A:A,0)),"")</f>
        <v/>
      </c>
      <c r="N43" s="2">
        <f>IFERROR(INDEX(Creative!I:I,MATCH(Identity!A42,Creative!A:A,0)),"")</f>
        <v/>
      </c>
      <c r="O43" s="2">
        <f>IFERROR(INDEX(Creative!J:J,MATCH(Identity!A42,Creative!A:A,0)),"")</f>
        <v/>
      </c>
      <c r="P43" s="2">
        <f>IFERROR(INDEX(Creative!K:K,MATCH(Identity!A42,Creative!A:A,0)),"")</f>
        <v/>
      </c>
      <c r="Q43" s="2">
        <f>IFERROR(INDEX(Creative!L:L,MATCH(Identity!A42,Creative!A:A,0)),"")</f>
        <v/>
      </c>
      <c r="R43" s="2">
        <f>IFERROR(INDEX(Creative!M:M,MATCH(Identity!A42,Creative!A:A,0)),"")</f>
        <v/>
      </c>
      <c r="S43" s="2">
        <f>IFERROR(INDEX(Creative!N:N,MATCH(Identity!A42,Creative!A:A,0)),"")</f>
        <v/>
      </c>
      <c r="T43" s="2">
        <f>IFERROR(INDEX(Creative!O:O,MATCH(Identity!A42,Creative!A:A,0)),"")</f>
        <v/>
      </c>
      <c r="U43" s="2">
        <f>IFERROR(INDEX(Creative!P:P,MATCH(Identity!A42,Creative!A:A,0)),"")</f>
        <v/>
      </c>
      <c r="V43" s="2">
        <f>IFERROR(INDEX(Creative!Q:Q,MATCH(Identity!A42,Creative!A:A,0)),"")</f>
        <v/>
      </c>
      <c r="W43" s="2">
        <f>IFERROR(INDEX(Performance!B:B,MATCH(Identity!A42,Performance!A:A,0)),"")</f>
        <v/>
      </c>
      <c r="X43" s="2">
        <f>IFERROR(INDEX(Performance!C:C,MATCH(Identity!A42,Performance!A:A,0)),"")</f>
        <v/>
      </c>
      <c r="Y43" s="2">
        <f>IFERROR(INDEX(Performance!D:D,MATCH(Identity!A42,Performance!A:A,0)),"")</f>
        <v/>
      </c>
      <c r="Z43" s="2">
        <f>IFERROR(INDEX(Performance!E:E,MATCH(Identity!A42,Performance!A:A,0)),"")</f>
        <v/>
      </c>
      <c r="AA43" s="2">
        <f>IFERROR(INDEX(Performance!F:F,MATCH(Identity!A42,Performance!A:A,0)),"")</f>
        <v/>
      </c>
      <c r="AB43" s="2">
        <f>IFERROR(INDEX(Performance!G:G,MATCH(Identity!A42,Performance!A:A,0)),"")</f>
        <v/>
      </c>
      <c r="AC43" s="2">
        <f>IFERROR(INDEX(Performance!H:H,MATCH(Identity!A42,Performance!A:A,0)),"")</f>
        <v/>
      </c>
      <c r="AD43" s="2">
        <f>IFERROR(INDEX(Performance!I:I,MATCH(Identity!A42,Performance!A:A,0)),"")</f>
        <v/>
      </c>
      <c r="AE43" s="2">
        <f>IFERROR(INDEX(Conversion!B:B,MATCH(Identity!A42,Conversion!A:A,0)),"")</f>
        <v/>
      </c>
      <c r="AF43" s="2">
        <f>IFERROR(INDEX(Conversion!C:C,MATCH(Identity!A42,Conversion!A:A,0)),"")</f>
        <v/>
      </c>
      <c r="AG43" s="2">
        <f>IFERROR(INDEX(Conversion!D:D,MATCH(Identity!A42,Conversion!A:A,0)),"")</f>
        <v/>
      </c>
      <c r="AH43" s="2">
        <f>IFERROR(INDEX(Conversion!E:E,MATCH(Identity!A42,Conversion!A:A,0)),"")</f>
        <v/>
      </c>
      <c r="AI43" s="2">
        <f>IFERROR(INDEX(Conversion!F:F,MATCH(Identity!A42,Conversion!A:A,0)),"")</f>
        <v/>
      </c>
    </row>
    <row r="44">
      <c r="A44" s="2">
        <f>IF(Identity!A43="","",Identity!A43)</f>
        <v/>
      </c>
      <c r="B44" s="2">
        <f>IF(Identity!B43="","",Identity!B43)</f>
        <v/>
      </c>
      <c r="C44" s="2">
        <f>IF(Identity!C43="","",Identity!C43)</f>
        <v/>
      </c>
      <c r="D44" s="2">
        <f>IF(Identity!D43="","",Identity!D43)</f>
        <v/>
      </c>
      <c r="E44" s="2">
        <f>IF(Identity!E43="","",Identity!E43)</f>
        <v/>
      </c>
      <c r="F44" s="2">
        <f>IF(Identity!F43="","",Identity!F43)</f>
        <v/>
      </c>
      <c r="G44" s="2">
        <f>IFERROR(INDEX(Creative!B:B,MATCH(Identity!A43,Creative!A:A,0)),"")</f>
        <v/>
      </c>
      <c r="H44" s="2">
        <f>IFERROR(INDEX(Creative!C:C,MATCH(Identity!A43,Creative!A:A,0)),"")</f>
        <v/>
      </c>
      <c r="I44" s="2">
        <f>IFERROR(INDEX(Creative!D:D,MATCH(Identity!A43,Creative!A:A,0)),"")</f>
        <v/>
      </c>
      <c r="J44" s="2">
        <f>IFERROR(INDEX(Creative!E:E,MATCH(Identity!A43,Creative!A:A,0)),"")</f>
        <v/>
      </c>
      <c r="K44" s="2">
        <f>IFERROR(INDEX(Creative!F:F,MATCH(Identity!A43,Creative!A:A,0)),"")</f>
        <v/>
      </c>
      <c r="L44" s="2">
        <f>IFERROR(INDEX(Creative!G:G,MATCH(Identity!A43,Creative!A:A,0)),"")</f>
        <v/>
      </c>
      <c r="M44" s="2">
        <f>IFERROR(INDEX(Creative!H:H,MATCH(Identity!A43,Creative!A:A,0)),"")</f>
        <v/>
      </c>
      <c r="N44" s="2">
        <f>IFERROR(INDEX(Creative!I:I,MATCH(Identity!A43,Creative!A:A,0)),"")</f>
        <v/>
      </c>
      <c r="O44" s="2">
        <f>IFERROR(INDEX(Creative!J:J,MATCH(Identity!A43,Creative!A:A,0)),"")</f>
        <v/>
      </c>
      <c r="P44" s="2">
        <f>IFERROR(INDEX(Creative!K:K,MATCH(Identity!A43,Creative!A:A,0)),"")</f>
        <v/>
      </c>
      <c r="Q44" s="2">
        <f>IFERROR(INDEX(Creative!L:L,MATCH(Identity!A43,Creative!A:A,0)),"")</f>
        <v/>
      </c>
      <c r="R44" s="2">
        <f>IFERROR(INDEX(Creative!M:M,MATCH(Identity!A43,Creative!A:A,0)),"")</f>
        <v/>
      </c>
      <c r="S44" s="2">
        <f>IFERROR(INDEX(Creative!N:N,MATCH(Identity!A43,Creative!A:A,0)),"")</f>
        <v/>
      </c>
      <c r="T44" s="2">
        <f>IFERROR(INDEX(Creative!O:O,MATCH(Identity!A43,Creative!A:A,0)),"")</f>
        <v/>
      </c>
      <c r="U44" s="2">
        <f>IFERROR(INDEX(Creative!P:P,MATCH(Identity!A43,Creative!A:A,0)),"")</f>
        <v/>
      </c>
      <c r="V44" s="2">
        <f>IFERROR(INDEX(Creative!Q:Q,MATCH(Identity!A43,Creative!A:A,0)),"")</f>
        <v/>
      </c>
      <c r="W44" s="2">
        <f>IFERROR(INDEX(Performance!B:B,MATCH(Identity!A43,Performance!A:A,0)),"")</f>
        <v/>
      </c>
      <c r="X44" s="2">
        <f>IFERROR(INDEX(Performance!C:C,MATCH(Identity!A43,Performance!A:A,0)),"")</f>
        <v/>
      </c>
      <c r="Y44" s="2">
        <f>IFERROR(INDEX(Performance!D:D,MATCH(Identity!A43,Performance!A:A,0)),"")</f>
        <v/>
      </c>
      <c r="Z44" s="2">
        <f>IFERROR(INDEX(Performance!E:E,MATCH(Identity!A43,Performance!A:A,0)),"")</f>
        <v/>
      </c>
      <c r="AA44" s="2">
        <f>IFERROR(INDEX(Performance!F:F,MATCH(Identity!A43,Performance!A:A,0)),"")</f>
        <v/>
      </c>
      <c r="AB44" s="2">
        <f>IFERROR(INDEX(Performance!G:G,MATCH(Identity!A43,Performance!A:A,0)),"")</f>
        <v/>
      </c>
      <c r="AC44" s="2">
        <f>IFERROR(INDEX(Performance!H:H,MATCH(Identity!A43,Performance!A:A,0)),"")</f>
        <v/>
      </c>
      <c r="AD44" s="2">
        <f>IFERROR(INDEX(Performance!I:I,MATCH(Identity!A43,Performance!A:A,0)),"")</f>
        <v/>
      </c>
      <c r="AE44" s="2">
        <f>IFERROR(INDEX(Conversion!B:B,MATCH(Identity!A43,Conversion!A:A,0)),"")</f>
        <v/>
      </c>
      <c r="AF44" s="2">
        <f>IFERROR(INDEX(Conversion!C:C,MATCH(Identity!A43,Conversion!A:A,0)),"")</f>
        <v/>
      </c>
      <c r="AG44" s="2">
        <f>IFERROR(INDEX(Conversion!D:D,MATCH(Identity!A43,Conversion!A:A,0)),"")</f>
        <v/>
      </c>
      <c r="AH44" s="2">
        <f>IFERROR(INDEX(Conversion!E:E,MATCH(Identity!A43,Conversion!A:A,0)),"")</f>
        <v/>
      </c>
      <c r="AI44" s="2">
        <f>IFERROR(INDEX(Conversion!F:F,MATCH(Identity!A43,Conversion!A:A,0)),"")</f>
        <v/>
      </c>
    </row>
    <row r="45">
      <c r="A45" s="2">
        <f>IF(Identity!A44="","",Identity!A44)</f>
        <v/>
      </c>
      <c r="B45" s="2">
        <f>IF(Identity!B44="","",Identity!B44)</f>
        <v/>
      </c>
      <c r="C45" s="2">
        <f>IF(Identity!C44="","",Identity!C44)</f>
        <v/>
      </c>
      <c r="D45" s="2">
        <f>IF(Identity!D44="","",Identity!D44)</f>
        <v/>
      </c>
      <c r="E45" s="2">
        <f>IF(Identity!E44="","",Identity!E44)</f>
        <v/>
      </c>
      <c r="F45" s="2">
        <f>IF(Identity!F44="","",Identity!F44)</f>
        <v/>
      </c>
      <c r="G45" s="2">
        <f>IFERROR(INDEX(Creative!B:B,MATCH(Identity!A44,Creative!A:A,0)),"")</f>
        <v/>
      </c>
      <c r="H45" s="2">
        <f>IFERROR(INDEX(Creative!C:C,MATCH(Identity!A44,Creative!A:A,0)),"")</f>
        <v/>
      </c>
      <c r="I45" s="2">
        <f>IFERROR(INDEX(Creative!D:D,MATCH(Identity!A44,Creative!A:A,0)),"")</f>
        <v/>
      </c>
      <c r="J45" s="2">
        <f>IFERROR(INDEX(Creative!E:E,MATCH(Identity!A44,Creative!A:A,0)),"")</f>
        <v/>
      </c>
      <c r="K45" s="2">
        <f>IFERROR(INDEX(Creative!F:F,MATCH(Identity!A44,Creative!A:A,0)),"")</f>
        <v/>
      </c>
      <c r="L45" s="2">
        <f>IFERROR(INDEX(Creative!G:G,MATCH(Identity!A44,Creative!A:A,0)),"")</f>
        <v/>
      </c>
      <c r="M45" s="2">
        <f>IFERROR(INDEX(Creative!H:H,MATCH(Identity!A44,Creative!A:A,0)),"")</f>
        <v/>
      </c>
      <c r="N45" s="2">
        <f>IFERROR(INDEX(Creative!I:I,MATCH(Identity!A44,Creative!A:A,0)),"")</f>
        <v/>
      </c>
      <c r="O45" s="2">
        <f>IFERROR(INDEX(Creative!J:J,MATCH(Identity!A44,Creative!A:A,0)),"")</f>
        <v/>
      </c>
      <c r="P45" s="2">
        <f>IFERROR(INDEX(Creative!K:K,MATCH(Identity!A44,Creative!A:A,0)),"")</f>
        <v/>
      </c>
      <c r="Q45" s="2">
        <f>IFERROR(INDEX(Creative!L:L,MATCH(Identity!A44,Creative!A:A,0)),"")</f>
        <v/>
      </c>
      <c r="R45" s="2">
        <f>IFERROR(INDEX(Creative!M:M,MATCH(Identity!A44,Creative!A:A,0)),"")</f>
        <v/>
      </c>
      <c r="S45" s="2">
        <f>IFERROR(INDEX(Creative!N:N,MATCH(Identity!A44,Creative!A:A,0)),"")</f>
        <v/>
      </c>
      <c r="T45" s="2">
        <f>IFERROR(INDEX(Creative!O:O,MATCH(Identity!A44,Creative!A:A,0)),"")</f>
        <v/>
      </c>
      <c r="U45" s="2">
        <f>IFERROR(INDEX(Creative!P:P,MATCH(Identity!A44,Creative!A:A,0)),"")</f>
        <v/>
      </c>
      <c r="V45" s="2">
        <f>IFERROR(INDEX(Creative!Q:Q,MATCH(Identity!A44,Creative!A:A,0)),"")</f>
        <v/>
      </c>
      <c r="W45" s="2">
        <f>IFERROR(INDEX(Performance!B:B,MATCH(Identity!A44,Performance!A:A,0)),"")</f>
        <v/>
      </c>
      <c r="X45" s="2">
        <f>IFERROR(INDEX(Performance!C:C,MATCH(Identity!A44,Performance!A:A,0)),"")</f>
        <v/>
      </c>
      <c r="Y45" s="2">
        <f>IFERROR(INDEX(Performance!D:D,MATCH(Identity!A44,Performance!A:A,0)),"")</f>
        <v/>
      </c>
      <c r="Z45" s="2">
        <f>IFERROR(INDEX(Performance!E:E,MATCH(Identity!A44,Performance!A:A,0)),"")</f>
        <v/>
      </c>
      <c r="AA45" s="2">
        <f>IFERROR(INDEX(Performance!F:F,MATCH(Identity!A44,Performance!A:A,0)),"")</f>
        <v/>
      </c>
      <c r="AB45" s="2">
        <f>IFERROR(INDEX(Performance!G:G,MATCH(Identity!A44,Performance!A:A,0)),"")</f>
        <v/>
      </c>
      <c r="AC45" s="2">
        <f>IFERROR(INDEX(Performance!H:H,MATCH(Identity!A44,Performance!A:A,0)),"")</f>
        <v/>
      </c>
      <c r="AD45" s="2">
        <f>IFERROR(INDEX(Performance!I:I,MATCH(Identity!A44,Performance!A:A,0)),"")</f>
        <v/>
      </c>
      <c r="AE45" s="2">
        <f>IFERROR(INDEX(Conversion!B:B,MATCH(Identity!A44,Conversion!A:A,0)),"")</f>
        <v/>
      </c>
      <c r="AF45" s="2">
        <f>IFERROR(INDEX(Conversion!C:C,MATCH(Identity!A44,Conversion!A:A,0)),"")</f>
        <v/>
      </c>
      <c r="AG45" s="2">
        <f>IFERROR(INDEX(Conversion!D:D,MATCH(Identity!A44,Conversion!A:A,0)),"")</f>
        <v/>
      </c>
      <c r="AH45" s="2">
        <f>IFERROR(INDEX(Conversion!E:E,MATCH(Identity!A44,Conversion!A:A,0)),"")</f>
        <v/>
      </c>
      <c r="AI45" s="2">
        <f>IFERROR(INDEX(Conversion!F:F,MATCH(Identity!A44,Conversion!A:A,0)),"")</f>
        <v/>
      </c>
    </row>
    <row r="46">
      <c r="A46" s="2">
        <f>IF(Identity!A45="","",Identity!A45)</f>
        <v/>
      </c>
      <c r="B46" s="2">
        <f>IF(Identity!B45="","",Identity!B45)</f>
        <v/>
      </c>
      <c r="C46" s="2">
        <f>IF(Identity!C45="","",Identity!C45)</f>
        <v/>
      </c>
      <c r="D46" s="2">
        <f>IF(Identity!D45="","",Identity!D45)</f>
        <v/>
      </c>
      <c r="E46" s="2">
        <f>IF(Identity!E45="","",Identity!E45)</f>
        <v/>
      </c>
      <c r="F46" s="2">
        <f>IF(Identity!F45="","",Identity!F45)</f>
        <v/>
      </c>
      <c r="G46" s="2">
        <f>IFERROR(INDEX(Creative!B:B,MATCH(Identity!A45,Creative!A:A,0)),"")</f>
        <v/>
      </c>
      <c r="H46" s="2">
        <f>IFERROR(INDEX(Creative!C:C,MATCH(Identity!A45,Creative!A:A,0)),"")</f>
        <v/>
      </c>
      <c r="I46" s="2">
        <f>IFERROR(INDEX(Creative!D:D,MATCH(Identity!A45,Creative!A:A,0)),"")</f>
        <v/>
      </c>
      <c r="J46" s="2">
        <f>IFERROR(INDEX(Creative!E:E,MATCH(Identity!A45,Creative!A:A,0)),"")</f>
        <v/>
      </c>
      <c r="K46" s="2">
        <f>IFERROR(INDEX(Creative!F:F,MATCH(Identity!A45,Creative!A:A,0)),"")</f>
        <v/>
      </c>
      <c r="L46" s="2">
        <f>IFERROR(INDEX(Creative!G:G,MATCH(Identity!A45,Creative!A:A,0)),"")</f>
        <v/>
      </c>
      <c r="M46" s="2">
        <f>IFERROR(INDEX(Creative!H:H,MATCH(Identity!A45,Creative!A:A,0)),"")</f>
        <v/>
      </c>
      <c r="N46" s="2">
        <f>IFERROR(INDEX(Creative!I:I,MATCH(Identity!A45,Creative!A:A,0)),"")</f>
        <v/>
      </c>
      <c r="O46" s="2">
        <f>IFERROR(INDEX(Creative!J:J,MATCH(Identity!A45,Creative!A:A,0)),"")</f>
        <v/>
      </c>
      <c r="P46" s="2">
        <f>IFERROR(INDEX(Creative!K:K,MATCH(Identity!A45,Creative!A:A,0)),"")</f>
        <v/>
      </c>
      <c r="Q46" s="2">
        <f>IFERROR(INDEX(Creative!L:L,MATCH(Identity!A45,Creative!A:A,0)),"")</f>
        <v/>
      </c>
      <c r="R46" s="2">
        <f>IFERROR(INDEX(Creative!M:M,MATCH(Identity!A45,Creative!A:A,0)),"")</f>
        <v/>
      </c>
      <c r="S46" s="2">
        <f>IFERROR(INDEX(Creative!N:N,MATCH(Identity!A45,Creative!A:A,0)),"")</f>
        <v/>
      </c>
      <c r="T46" s="2">
        <f>IFERROR(INDEX(Creative!O:O,MATCH(Identity!A45,Creative!A:A,0)),"")</f>
        <v/>
      </c>
      <c r="U46" s="2">
        <f>IFERROR(INDEX(Creative!P:P,MATCH(Identity!A45,Creative!A:A,0)),"")</f>
        <v/>
      </c>
      <c r="V46" s="2">
        <f>IFERROR(INDEX(Creative!Q:Q,MATCH(Identity!A45,Creative!A:A,0)),"")</f>
        <v/>
      </c>
      <c r="W46" s="2">
        <f>IFERROR(INDEX(Performance!B:B,MATCH(Identity!A45,Performance!A:A,0)),"")</f>
        <v/>
      </c>
      <c r="X46" s="2">
        <f>IFERROR(INDEX(Performance!C:C,MATCH(Identity!A45,Performance!A:A,0)),"")</f>
        <v/>
      </c>
      <c r="Y46" s="2">
        <f>IFERROR(INDEX(Performance!D:D,MATCH(Identity!A45,Performance!A:A,0)),"")</f>
        <v/>
      </c>
      <c r="Z46" s="2">
        <f>IFERROR(INDEX(Performance!E:E,MATCH(Identity!A45,Performance!A:A,0)),"")</f>
        <v/>
      </c>
      <c r="AA46" s="2">
        <f>IFERROR(INDEX(Performance!F:F,MATCH(Identity!A45,Performance!A:A,0)),"")</f>
        <v/>
      </c>
      <c r="AB46" s="2">
        <f>IFERROR(INDEX(Performance!G:G,MATCH(Identity!A45,Performance!A:A,0)),"")</f>
        <v/>
      </c>
      <c r="AC46" s="2">
        <f>IFERROR(INDEX(Performance!H:H,MATCH(Identity!A45,Performance!A:A,0)),"")</f>
        <v/>
      </c>
      <c r="AD46" s="2">
        <f>IFERROR(INDEX(Performance!I:I,MATCH(Identity!A45,Performance!A:A,0)),"")</f>
        <v/>
      </c>
      <c r="AE46" s="2">
        <f>IFERROR(INDEX(Conversion!B:B,MATCH(Identity!A45,Conversion!A:A,0)),"")</f>
        <v/>
      </c>
      <c r="AF46" s="2">
        <f>IFERROR(INDEX(Conversion!C:C,MATCH(Identity!A45,Conversion!A:A,0)),"")</f>
        <v/>
      </c>
      <c r="AG46" s="2">
        <f>IFERROR(INDEX(Conversion!D:D,MATCH(Identity!A45,Conversion!A:A,0)),"")</f>
        <v/>
      </c>
      <c r="AH46" s="2">
        <f>IFERROR(INDEX(Conversion!E:E,MATCH(Identity!A45,Conversion!A:A,0)),"")</f>
        <v/>
      </c>
      <c r="AI46" s="2">
        <f>IFERROR(INDEX(Conversion!F:F,MATCH(Identity!A45,Conversion!A:A,0)),"")</f>
        <v/>
      </c>
    </row>
    <row r="47">
      <c r="A47" s="2">
        <f>IF(Identity!A46="","",Identity!A46)</f>
        <v/>
      </c>
      <c r="B47" s="2">
        <f>IF(Identity!B46="","",Identity!B46)</f>
        <v/>
      </c>
      <c r="C47" s="2">
        <f>IF(Identity!C46="","",Identity!C46)</f>
        <v/>
      </c>
      <c r="D47" s="2">
        <f>IF(Identity!D46="","",Identity!D46)</f>
        <v/>
      </c>
      <c r="E47" s="2">
        <f>IF(Identity!E46="","",Identity!E46)</f>
        <v/>
      </c>
      <c r="F47" s="2">
        <f>IF(Identity!F46="","",Identity!F46)</f>
        <v/>
      </c>
      <c r="G47" s="2">
        <f>IFERROR(INDEX(Creative!B:B,MATCH(Identity!A46,Creative!A:A,0)),"")</f>
        <v/>
      </c>
      <c r="H47" s="2">
        <f>IFERROR(INDEX(Creative!C:C,MATCH(Identity!A46,Creative!A:A,0)),"")</f>
        <v/>
      </c>
      <c r="I47" s="2">
        <f>IFERROR(INDEX(Creative!D:D,MATCH(Identity!A46,Creative!A:A,0)),"")</f>
        <v/>
      </c>
      <c r="J47" s="2">
        <f>IFERROR(INDEX(Creative!E:E,MATCH(Identity!A46,Creative!A:A,0)),"")</f>
        <v/>
      </c>
      <c r="K47" s="2">
        <f>IFERROR(INDEX(Creative!F:F,MATCH(Identity!A46,Creative!A:A,0)),"")</f>
        <v/>
      </c>
      <c r="L47" s="2">
        <f>IFERROR(INDEX(Creative!G:G,MATCH(Identity!A46,Creative!A:A,0)),"")</f>
        <v/>
      </c>
      <c r="M47" s="2">
        <f>IFERROR(INDEX(Creative!H:H,MATCH(Identity!A46,Creative!A:A,0)),"")</f>
        <v/>
      </c>
      <c r="N47" s="2">
        <f>IFERROR(INDEX(Creative!I:I,MATCH(Identity!A46,Creative!A:A,0)),"")</f>
        <v/>
      </c>
      <c r="O47" s="2">
        <f>IFERROR(INDEX(Creative!J:J,MATCH(Identity!A46,Creative!A:A,0)),"")</f>
        <v/>
      </c>
      <c r="P47" s="2">
        <f>IFERROR(INDEX(Creative!K:K,MATCH(Identity!A46,Creative!A:A,0)),"")</f>
        <v/>
      </c>
      <c r="Q47" s="2">
        <f>IFERROR(INDEX(Creative!L:L,MATCH(Identity!A46,Creative!A:A,0)),"")</f>
        <v/>
      </c>
      <c r="R47" s="2">
        <f>IFERROR(INDEX(Creative!M:M,MATCH(Identity!A46,Creative!A:A,0)),"")</f>
        <v/>
      </c>
      <c r="S47" s="2">
        <f>IFERROR(INDEX(Creative!N:N,MATCH(Identity!A46,Creative!A:A,0)),"")</f>
        <v/>
      </c>
      <c r="T47" s="2">
        <f>IFERROR(INDEX(Creative!O:O,MATCH(Identity!A46,Creative!A:A,0)),"")</f>
        <v/>
      </c>
      <c r="U47" s="2">
        <f>IFERROR(INDEX(Creative!P:P,MATCH(Identity!A46,Creative!A:A,0)),"")</f>
        <v/>
      </c>
      <c r="V47" s="2">
        <f>IFERROR(INDEX(Creative!Q:Q,MATCH(Identity!A46,Creative!A:A,0)),"")</f>
        <v/>
      </c>
      <c r="W47" s="2">
        <f>IFERROR(INDEX(Performance!B:B,MATCH(Identity!A46,Performance!A:A,0)),"")</f>
        <v/>
      </c>
      <c r="X47" s="2">
        <f>IFERROR(INDEX(Performance!C:C,MATCH(Identity!A46,Performance!A:A,0)),"")</f>
        <v/>
      </c>
      <c r="Y47" s="2">
        <f>IFERROR(INDEX(Performance!D:D,MATCH(Identity!A46,Performance!A:A,0)),"")</f>
        <v/>
      </c>
      <c r="Z47" s="2">
        <f>IFERROR(INDEX(Performance!E:E,MATCH(Identity!A46,Performance!A:A,0)),"")</f>
        <v/>
      </c>
      <c r="AA47" s="2">
        <f>IFERROR(INDEX(Performance!F:F,MATCH(Identity!A46,Performance!A:A,0)),"")</f>
        <v/>
      </c>
      <c r="AB47" s="2">
        <f>IFERROR(INDEX(Performance!G:G,MATCH(Identity!A46,Performance!A:A,0)),"")</f>
        <v/>
      </c>
      <c r="AC47" s="2">
        <f>IFERROR(INDEX(Performance!H:H,MATCH(Identity!A46,Performance!A:A,0)),"")</f>
        <v/>
      </c>
      <c r="AD47" s="2">
        <f>IFERROR(INDEX(Performance!I:I,MATCH(Identity!A46,Performance!A:A,0)),"")</f>
        <v/>
      </c>
      <c r="AE47" s="2">
        <f>IFERROR(INDEX(Conversion!B:B,MATCH(Identity!A46,Conversion!A:A,0)),"")</f>
        <v/>
      </c>
      <c r="AF47" s="2">
        <f>IFERROR(INDEX(Conversion!C:C,MATCH(Identity!A46,Conversion!A:A,0)),"")</f>
        <v/>
      </c>
      <c r="AG47" s="2">
        <f>IFERROR(INDEX(Conversion!D:D,MATCH(Identity!A46,Conversion!A:A,0)),"")</f>
        <v/>
      </c>
      <c r="AH47" s="2">
        <f>IFERROR(INDEX(Conversion!E:E,MATCH(Identity!A46,Conversion!A:A,0)),"")</f>
        <v/>
      </c>
      <c r="AI47" s="2">
        <f>IFERROR(INDEX(Conversion!F:F,MATCH(Identity!A46,Conversion!A:A,0)),"")</f>
        <v/>
      </c>
    </row>
    <row r="48">
      <c r="A48" s="2">
        <f>IF(Identity!A47="","",Identity!A47)</f>
        <v/>
      </c>
      <c r="B48" s="2">
        <f>IF(Identity!B47="","",Identity!B47)</f>
        <v/>
      </c>
      <c r="C48" s="2">
        <f>IF(Identity!C47="","",Identity!C47)</f>
        <v/>
      </c>
      <c r="D48" s="2">
        <f>IF(Identity!D47="","",Identity!D47)</f>
        <v/>
      </c>
      <c r="E48" s="2">
        <f>IF(Identity!E47="","",Identity!E47)</f>
        <v/>
      </c>
      <c r="F48" s="2">
        <f>IF(Identity!F47="","",Identity!F47)</f>
        <v/>
      </c>
      <c r="G48" s="2">
        <f>IFERROR(INDEX(Creative!B:B,MATCH(Identity!A47,Creative!A:A,0)),"")</f>
        <v/>
      </c>
      <c r="H48" s="2">
        <f>IFERROR(INDEX(Creative!C:C,MATCH(Identity!A47,Creative!A:A,0)),"")</f>
        <v/>
      </c>
      <c r="I48" s="2">
        <f>IFERROR(INDEX(Creative!D:D,MATCH(Identity!A47,Creative!A:A,0)),"")</f>
        <v/>
      </c>
      <c r="J48" s="2">
        <f>IFERROR(INDEX(Creative!E:E,MATCH(Identity!A47,Creative!A:A,0)),"")</f>
        <v/>
      </c>
      <c r="K48" s="2">
        <f>IFERROR(INDEX(Creative!F:F,MATCH(Identity!A47,Creative!A:A,0)),"")</f>
        <v/>
      </c>
      <c r="L48" s="2">
        <f>IFERROR(INDEX(Creative!G:G,MATCH(Identity!A47,Creative!A:A,0)),"")</f>
        <v/>
      </c>
      <c r="M48" s="2">
        <f>IFERROR(INDEX(Creative!H:H,MATCH(Identity!A47,Creative!A:A,0)),"")</f>
        <v/>
      </c>
      <c r="N48" s="2">
        <f>IFERROR(INDEX(Creative!I:I,MATCH(Identity!A47,Creative!A:A,0)),"")</f>
        <v/>
      </c>
      <c r="O48" s="2">
        <f>IFERROR(INDEX(Creative!J:J,MATCH(Identity!A47,Creative!A:A,0)),"")</f>
        <v/>
      </c>
      <c r="P48" s="2">
        <f>IFERROR(INDEX(Creative!K:K,MATCH(Identity!A47,Creative!A:A,0)),"")</f>
        <v/>
      </c>
      <c r="Q48" s="2">
        <f>IFERROR(INDEX(Creative!L:L,MATCH(Identity!A47,Creative!A:A,0)),"")</f>
        <v/>
      </c>
      <c r="R48" s="2">
        <f>IFERROR(INDEX(Creative!M:M,MATCH(Identity!A47,Creative!A:A,0)),"")</f>
        <v/>
      </c>
      <c r="S48" s="2">
        <f>IFERROR(INDEX(Creative!N:N,MATCH(Identity!A47,Creative!A:A,0)),"")</f>
        <v/>
      </c>
      <c r="T48" s="2">
        <f>IFERROR(INDEX(Creative!O:O,MATCH(Identity!A47,Creative!A:A,0)),"")</f>
        <v/>
      </c>
      <c r="U48" s="2">
        <f>IFERROR(INDEX(Creative!P:P,MATCH(Identity!A47,Creative!A:A,0)),"")</f>
        <v/>
      </c>
      <c r="V48" s="2">
        <f>IFERROR(INDEX(Creative!Q:Q,MATCH(Identity!A47,Creative!A:A,0)),"")</f>
        <v/>
      </c>
      <c r="W48" s="2">
        <f>IFERROR(INDEX(Performance!B:B,MATCH(Identity!A47,Performance!A:A,0)),"")</f>
        <v/>
      </c>
      <c r="X48" s="2">
        <f>IFERROR(INDEX(Performance!C:C,MATCH(Identity!A47,Performance!A:A,0)),"")</f>
        <v/>
      </c>
      <c r="Y48" s="2">
        <f>IFERROR(INDEX(Performance!D:D,MATCH(Identity!A47,Performance!A:A,0)),"")</f>
        <v/>
      </c>
      <c r="Z48" s="2">
        <f>IFERROR(INDEX(Performance!E:E,MATCH(Identity!A47,Performance!A:A,0)),"")</f>
        <v/>
      </c>
      <c r="AA48" s="2">
        <f>IFERROR(INDEX(Performance!F:F,MATCH(Identity!A47,Performance!A:A,0)),"")</f>
        <v/>
      </c>
      <c r="AB48" s="2">
        <f>IFERROR(INDEX(Performance!G:G,MATCH(Identity!A47,Performance!A:A,0)),"")</f>
        <v/>
      </c>
      <c r="AC48" s="2">
        <f>IFERROR(INDEX(Performance!H:H,MATCH(Identity!A47,Performance!A:A,0)),"")</f>
        <v/>
      </c>
      <c r="AD48" s="2">
        <f>IFERROR(INDEX(Performance!I:I,MATCH(Identity!A47,Performance!A:A,0)),"")</f>
        <v/>
      </c>
      <c r="AE48" s="2">
        <f>IFERROR(INDEX(Conversion!B:B,MATCH(Identity!A47,Conversion!A:A,0)),"")</f>
        <v/>
      </c>
      <c r="AF48" s="2">
        <f>IFERROR(INDEX(Conversion!C:C,MATCH(Identity!A47,Conversion!A:A,0)),"")</f>
        <v/>
      </c>
      <c r="AG48" s="2">
        <f>IFERROR(INDEX(Conversion!D:D,MATCH(Identity!A47,Conversion!A:A,0)),"")</f>
        <v/>
      </c>
      <c r="AH48" s="2">
        <f>IFERROR(INDEX(Conversion!E:E,MATCH(Identity!A47,Conversion!A:A,0)),"")</f>
        <v/>
      </c>
      <c r="AI48" s="2">
        <f>IFERROR(INDEX(Conversion!F:F,MATCH(Identity!A47,Conversion!A:A,0)),"")</f>
        <v/>
      </c>
    </row>
    <row r="49">
      <c r="A49" s="2">
        <f>IF(Identity!A48="","",Identity!A48)</f>
        <v/>
      </c>
      <c r="B49" s="2">
        <f>IF(Identity!B48="","",Identity!B48)</f>
        <v/>
      </c>
      <c r="C49" s="2">
        <f>IF(Identity!C48="","",Identity!C48)</f>
        <v/>
      </c>
      <c r="D49" s="2">
        <f>IF(Identity!D48="","",Identity!D48)</f>
        <v/>
      </c>
      <c r="E49" s="2">
        <f>IF(Identity!E48="","",Identity!E48)</f>
        <v/>
      </c>
      <c r="F49" s="2">
        <f>IF(Identity!F48="","",Identity!F48)</f>
        <v/>
      </c>
      <c r="G49" s="2">
        <f>IFERROR(INDEX(Creative!B:B,MATCH(Identity!A48,Creative!A:A,0)),"")</f>
        <v/>
      </c>
      <c r="H49" s="2">
        <f>IFERROR(INDEX(Creative!C:C,MATCH(Identity!A48,Creative!A:A,0)),"")</f>
        <v/>
      </c>
      <c r="I49" s="2">
        <f>IFERROR(INDEX(Creative!D:D,MATCH(Identity!A48,Creative!A:A,0)),"")</f>
        <v/>
      </c>
      <c r="J49" s="2">
        <f>IFERROR(INDEX(Creative!E:E,MATCH(Identity!A48,Creative!A:A,0)),"")</f>
        <v/>
      </c>
      <c r="K49" s="2">
        <f>IFERROR(INDEX(Creative!F:F,MATCH(Identity!A48,Creative!A:A,0)),"")</f>
        <v/>
      </c>
      <c r="L49" s="2">
        <f>IFERROR(INDEX(Creative!G:G,MATCH(Identity!A48,Creative!A:A,0)),"")</f>
        <v/>
      </c>
      <c r="M49" s="2">
        <f>IFERROR(INDEX(Creative!H:H,MATCH(Identity!A48,Creative!A:A,0)),"")</f>
        <v/>
      </c>
      <c r="N49" s="2">
        <f>IFERROR(INDEX(Creative!I:I,MATCH(Identity!A48,Creative!A:A,0)),"")</f>
        <v/>
      </c>
      <c r="O49" s="2">
        <f>IFERROR(INDEX(Creative!J:J,MATCH(Identity!A48,Creative!A:A,0)),"")</f>
        <v/>
      </c>
      <c r="P49" s="2">
        <f>IFERROR(INDEX(Creative!K:K,MATCH(Identity!A48,Creative!A:A,0)),"")</f>
        <v/>
      </c>
      <c r="Q49" s="2">
        <f>IFERROR(INDEX(Creative!L:L,MATCH(Identity!A48,Creative!A:A,0)),"")</f>
        <v/>
      </c>
      <c r="R49" s="2">
        <f>IFERROR(INDEX(Creative!M:M,MATCH(Identity!A48,Creative!A:A,0)),"")</f>
        <v/>
      </c>
      <c r="S49" s="2">
        <f>IFERROR(INDEX(Creative!N:N,MATCH(Identity!A48,Creative!A:A,0)),"")</f>
        <v/>
      </c>
      <c r="T49" s="2">
        <f>IFERROR(INDEX(Creative!O:O,MATCH(Identity!A48,Creative!A:A,0)),"")</f>
        <v/>
      </c>
      <c r="U49" s="2">
        <f>IFERROR(INDEX(Creative!P:P,MATCH(Identity!A48,Creative!A:A,0)),"")</f>
        <v/>
      </c>
      <c r="V49" s="2">
        <f>IFERROR(INDEX(Creative!Q:Q,MATCH(Identity!A48,Creative!A:A,0)),"")</f>
        <v/>
      </c>
      <c r="W49" s="2">
        <f>IFERROR(INDEX(Performance!B:B,MATCH(Identity!A48,Performance!A:A,0)),"")</f>
        <v/>
      </c>
      <c r="X49" s="2">
        <f>IFERROR(INDEX(Performance!C:C,MATCH(Identity!A48,Performance!A:A,0)),"")</f>
        <v/>
      </c>
      <c r="Y49" s="2">
        <f>IFERROR(INDEX(Performance!D:D,MATCH(Identity!A48,Performance!A:A,0)),"")</f>
        <v/>
      </c>
      <c r="Z49" s="2">
        <f>IFERROR(INDEX(Performance!E:E,MATCH(Identity!A48,Performance!A:A,0)),"")</f>
        <v/>
      </c>
      <c r="AA49" s="2">
        <f>IFERROR(INDEX(Performance!F:F,MATCH(Identity!A48,Performance!A:A,0)),"")</f>
        <v/>
      </c>
      <c r="AB49" s="2">
        <f>IFERROR(INDEX(Performance!G:G,MATCH(Identity!A48,Performance!A:A,0)),"")</f>
        <v/>
      </c>
      <c r="AC49" s="2">
        <f>IFERROR(INDEX(Performance!H:H,MATCH(Identity!A48,Performance!A:A,0)),"")</f>
        <v/>
      </c>
      <c r="AD49" s="2">
        <f>IFERROR(INDEX(Performance!I:I,MATCH(Identity!A48,Performance!A:A,0)),"")</f>
        <v/>
      </c>
      <c r="AE49" s="2">
        <f>IFERROR(INDEX(Conversion!B:B,MATCH(Identity!A48,Conversion!A:A,0)),"")</f>
        <v/>
      </c>
      <c r="AF49" s="2">
        <f>IFERROR(INDEX(Conversion!C:C,MATCH(Identity!A48,Conversion!A:A,0)),"")</f>
        <v/>
      </c>
      <c r="AG49" s="2">
        <f>IFERROR(INDEX(Conversion!D:D,MATCH(Identity!A48,Conversion!A:A,0)),"")</f>
        <v/>
      </c>
      <c r="AH49" s="2">
        <f>IFERROR(INDEX(Conversion!E:E,MATCH(Identity!A48,Conversion!A:A,0)),"")</f>
        <v/>
      </c>
      <c r="AI49" s="2">
        <f>IFERROR(INDEX(Conversion!F:F,MATCH(Identity!A48,Conversion!A:A,0)),"")</f>
        <v/>
      </c>
    </row>
    <row r="50">
      <c r="A50" s="2">
        <f>IF(Identity!A49="","",Identity!A49)</f>
        <v/>
      </c>
      <c r="B50" s="2">
        <f>IF(Identity!B49="","",Identity!B49)</f>
        <v/>
      </c>
      <c r="C50" s="2">
        <f>IF(Identity!C49="","",Identity!C49)</f>
        <v/>
      </c>
      <c r="D50" s="2">
        <f>IF(Identity!D49="","",Identity!D49)</f>
        <v/>
      </c>
      <c r="E50" s="2">
        <f>IF(Identity!E49="","",Identity!E49)</f>
        <v/>
      </c>
      <c r="F50" s="2">
        <f>IF(Identity!F49="","",Identity!F49)</f>
        <v/>
      </c>
      <c r="G50" s="2">
        <f>IFERROR(INDEX(Creative!B:B,MATCH(Identity!A49,Creative!A:A,0)),"")</f>
        <v/>
      </c>
      <c r="H50" s="2">
        <f>IFERROR(INDEX(Creative!C:C,MATCH(Identity!A49,Creative!A:A,0)),"")</f>
        <v/>
      </c>
      <c r="I50" s="2">
        <f>IFERROR(INDEX(Creative!D:D,MATCH(Identity!A49,Creative!A:A,0)),"")</f>
        <v/>
      </c>
      <c r="J50" s="2">
        <f>IFERROR(INDEX(Creative!E:E,MATCH(Identity!A49,Creative!A:A,0)),"")</f>
        <v/>
      </c>
      <c r="K50" s="2">
        <f>IFERROR(INDEX(Creative!F:F,MATCH(Identity!A49,Creative!A:A,0)),"")</f>
        <v/>
      </c>
      <c r="L50" s="2">
        <f>IFERROR(INDEX(Creative!G:G,MATCH(Identity!A49,Creative!A:A,0)),"")</f>
        <v/>
      </c>
      <c r="M50" s="2">
        <f>IFERROR(INDEX(Creative!H:H,MATCH(Identity!A49,Creative!A:A,0)),"")</f>
        <v/>
      </c>
      <c r="N50" s="2">
        <f>IFERROR(INDEX(Creative!I:I,MATCH(Identity!A49,Creative!A:A,0)),"")</f>
        <v/>
      </c>
      <c r="O50" s="2">
        <f>IFERROR(INDEX(Creative!J:J,MATCH(Identity!A49,Creative!A:A,0)),"")</f>
        <v/>
      </c>
      <c r="P50" s="2">
        <f>IFERROR(INDEX(Creative!K:K,MATCH(Identity!A49,Creative!A:A,0)),"")</f>
        <v/>
      </c>
      <c r="Q50" s="2">
        <f>IFERROR(INDEX(Creative!L:L,MATCH(Identity!A49,Creative!A:A,0)),"")</f>
        <v/>
      </c>
      <c r="R50" s="2">
        <f>IFERROR(INDEX(Creative!M:M,MATCH(Identity!A49,Creative!A:A,0)),"")</f>
        <v/>
      </c>
      <c r="S50" s="2">
        <f>IFERROR(INDEX(Creative!N:N,MATCH(Identity!A49,Creative!A:A,0)),"")</f>
        <v/>
      </c>
      <c r="T50" s="2">
        <f>IFERROR(INDEX(Creative!O:O,MATCH(Identity!A49,Creative!A:A,0)),"")</f>
        <v/>
      </c>
      <c r="U50" s="2">
        <f>IFERROR(INDEX(Creative!P:P,MATCH(Identity!A49,Creative!A:A,0)),"")</f>
        <v/>
      </c>
      <c r="V50" s="2">
        <f>IFERROR(INDEX(Creative!Q:Q,MATCH(Identity!A49,Creative!A:A,0)),"")</f>
        <v/>
      </c>
      <c r="W50" s="2">
        <f>IFERROR(INDEX(Performance!B:B,MATCH(Identity!A49,Performance!A:A,0)),"")</f>
        <v/>
      </c>
      <c r="X50" s="2">
        <f>IFERROR(INDEX(Performance!C:C,MATCH(Identity!A49,Performance!A:A,0)),"")</f>
        <v/>
      </c>
      <c r="Y50" s="2">
        <f>IFERROR(INDEX(Performance!D:D,MATCH(Identity!A49,Performance!A:A,0)),"")</f>
        <v/>
      </c>
      <c r="Z50" s="2">
        <f>IFERROR(INDEX(Performance!E:E,MATCH(Identity!A49,Performance!A:A,0)),"")</f>
        <v/>
      </c>
      <c r="AA50" s="2">
        <f>IFERROR(INDEX(Performance!F:F,MATCH(Identity!A49,Performance!A:A,0)),"")</f>
        <v/>
      </c>
      <c r="AB50" s="2">
        <f>IFERROR(INDEX(Performance!G:G,MATCH(Identity!A49,Performance!A:A,0)),"")</f>
        <v/>
      </c>
      <c r="AC50" s="2">
        <f>IFERROR(INDEX(Performance!H:H,MATCH(Identity!A49,Performance!A:A,0)),"")</f>
        <v/>
      </c>
      <c r="AD50" s="2">
        <f>IFERROR(INDEX(Performance!I:I,MATCH(Identity!A49,Performance!A:A,0)),"")</f>
        <v/>
      </c>
      <c r="AE50" s="2">
        <f>IFERROR(INDEX(Conversion!B:B,MATCH(Identity!A49,Conversion!A:A,0)),"")</f>
        <v/>
      </c>
      <c r="AF50" s="2">
        <f>IFERROR(INDEX(Conversion!C:C,MATCH(Identity!A49,Conversion!A:A,0)),"")</f>
        <v/>
      </c>
      <c r="AG50" s="2">
        <f>IFERROR(INDEX(Conversion!D:D,MATCH(Identity!A49,Conversion!A:A,0)),"")</f>
        <v/>
      </c>
      <c r="AH50" s="2">
        <f>IFERROR(INDEX(Conversion!E:E,MATCH(Identity!A49,Conversion!A:A,0)),"")</f>
        <v/>
      </c>
      <c r="AI50" s="2">
        <f>IFERROR(INDEX(Conversion!F:F,MATCH(Identity!A49,Conversion!A:A,0)),"")</f>
        <v/>
      </c>
    </row>
    <row r="51">
      <c r="A51" s="2">
        <f>IF(Identity!A50="","",Identity!A50)</f>
        <v/>
      </c>
      <c r="B51" s="2">
        <f>IF(Identity!B50="","",Identity!B50)</f>
        <v/>
      </c>
      <c r="C51" s="2">
        <f>IF(Identity!C50="","",Identity!C50)</f>
        <v/>
      </c>
      <c r="D51" s="2">
        <f>IF(Identity!D50="","",Identity!D50)</f>
        <v/>
      </c>
      <c r="E51" s="2">
        <f>IF(Identity!E50="","",Identity!E50)</f>
        <v/>
      </c>
      <c r="F51" s="2">
        <f>IF(Identity!F50="","",Identity!F50)</f>
        <v/>
      </c>
      <c r="G51" s="2">
        <f>IFERROR(INDEX(Creative!B:B,MATCH(Identity!A50,Creative!A:A,0)),"")</f>
        <v/>
      </c>
      <c r="H51" s="2">
        <f>IFERROR(INDEX(Creative!C:C,MATCH(Identity!A50,Creative!A:A,0)),"")</f>
        <v/>
      </c>
      <c r="I51" s="2">
        <f>IFERROR(INDEX(Creative!D:D,MATCH(Identity!A50,Creative!A:A,0)),"")</f>
        <v/>
      </c>
      <c r="J51" s="2">
        <f>IFERROR(INDEX(Creative!E:E,MATCH(Identity!A50,Creative!A:A,0)),"")</f>
        <v/>
      </c>
      <c r="K51" s="2">
        <f>IFERROR(INDEX(Creative!F:F,MATCH(Identity!A50,Creative!A:A,0)),"")</f>
        <v/>
      </c>
      <c r="L51" s="2">
        <f>IFERROR(INDEX(Creative!G:G,MATCH(Identity!A50,Creative!A:A,0)),"")</f>
        <v/>
      </c>
      <c r="M51" s="2">
        <f>IFERROR(INDEX(Creative!H:H,MATCH(Identity!A50,Creative!A:A,0)),"")</f>
        <v/>
      </c>
      <c r="N51" s="2">
        <f>IFERROR(INDEX(Creative!I:I,MATCH(Identity!A50,Creative!A:A,0)),"")</f>
        <v/>
      </c>
      <c r="O51" s="2">
        <f>IFERROR(INDEX(Creative!J:J,MATCH(Identity!A50,Creative!A:A,0)),"")</f>
        <v/>
      </c>
      <c r="P51" s="2">
        <f>IFERROR(INDEX(Creative!K:K,MATCH(Identity!A50,Creative!A:A,0)),"")</f>
        <v/>
      </c>
      <c r="Q51" s="2">
        <f>IFERROR(INDEX(Creative!L:L,MATCH(Identity!A50,Creative!A:A,0)),"")</f>
        <v/>
      </c>
      <c r="R51" s="2">
        <f>IFERROR(INDEX(Creative!M:M,MATCH(Identity!A50,Creative!A:A,0)),"")</f>
        <v/>
      </c>
      <c r="S51" s="2">
        <f>IFERROR(INDEX(Creative!N:N,MATCH(Identity!A50,Creative!A:A,0)),"")</f>
        <v/>
      </c>
      <c r="T51" s="2">
        <f>IFERROR(INDEX(Creative!O:O,MATCH(Identity!A50,Creative!A:A,0)),"")</f>
        <v/>
      </c>
      <c r="U51" s="2">
        <f>IFERROR(INDEX(Creative!P:P,MATCH(Identity!A50,Creative!A:A,0)),"")</f>
        <v/>
      </c>
      <c r="V51" s="2">
        <f>IFERROR(INDEX(Creative!Q:Q,MATCH(Identity!A50,Creative!A:A,0)),"")</f>
        <v/>
      </c>
      <c r="W51" s="2">
        <f>IFERROR(INDEX(Performance!B:B,MATCH(Identity!A50,Performance!A:A,0)),"")</f>
        <v/>
      </c>
      <c r="X51" s="2">
        <f>IFERROR(INDEX(Performance!C:C,MATCH(Identity!A50,Performance!A:A,0)),"")</f>
        <v/>
      </c>
      <c r="Y51" s="2">
        <f>IFERROR(INDEX(Performance!D:D,MATCH(Identity!A50,Performance!A:A,0)),"")</f>
        <v/>
      </c>
      <c r="Z51" s="2">
        <f>IFERROR(INDEX(Performance!E:E,MATCH(Identity!A50,Performance!A:A,0)),"")</f>
        <v/>
      </c>
      <c r="AA51" s="2">
        <f>IFERROR(INDEX(Performance!F:F,MATCH(Identity!A50,Performance!A:A,0)),"")</f>
        <v/>
      </c>
      <c r="AB51" s="2">
        <f>IFERROR(INDEX(Performance!G:G,MATCH(Identity!A50,Performance!A:A,0)),"")</f>
        <v/>
      </c>
      <c r="AC51" s="2">
        <f>IFERROR(INDEX(Performance!H:H,MATCH(Identity!A50,Performance!A:A,0)),"")</f>
        <v/>
      </c>
      <c r="AD51" s="2">
        <f>IFERROR(INDEX(Performance!I:I,MATCH(Identity!A50,Performance!A:A,0)),"")</f>
        <v/>
      </c>
      <c r="AE51" s="2">
        <f>IFERROR(INDEX(Conversion!B:B,MATCH(Identity!A50,Conversion!A:A,0)),"")</f>
        <v/>
      </c>
      <c r="AF51" s="2">
        <f>IFERROR(INDEX(Conversion!C:C,MATCH(Identity!A50,Conversion!A:A,0)),"")</f>
        <v/>
      </c>
      <c r="AG51" s="2">
        <f>IFERROR(INDEX(Conversion!D:D,MATCH(Identity!A50,Conversion!A:A,0)),"")</f>
        <v/>
      </c>
      <c r="AH51" s="2">
        <f>IFERROR(INDEX(Conversion!E:E,MATCH(Identity!A50,Conversion!A:A,0)),"")</f>
        <v/>
      </c>
      <c r="AI51" s="2">
        <f>IFERROR(INDEX(Conversion!F:F,MATCH(Identity!A50,Conversion!A:A,0)),"")</f>
        <v/>
      </c>
    </row>
    <row r="52">
      <c r="A52" s="2">
        <f>IF(Identity!A51="","",Identity!A51)</f>
        <v/>
      </c>
      <c r="B52" s="2">
        <f>IF(Identity!B51="","",Identity!B51)</f>
        <v/>
      </c>
      <c r="C52" s="2">
        <f>IF(Identity!C51="","",Identity!C51)</f>
        <v/>
      </c>
      <c r="D52" s="2">
        <f>IF(Identity!D51="","",Identity!D51)</f>
        <v/>
      </c>
      <c r="E52" s="2">
        <f>IF(Identity!E51="","",Identity!E51)</f>
        <v/>
      </c>
      <c r="F52" s="2">
        <f>IF(Identity!F51="","",Identity!F51)</f>
        <v/>
      </c>
      <c r="G52" s="2">
        <f>IFERROR(INDEX(Creative!B:B,MATCH(Identity!A51,Creative!A:A,0)),"")</f>
        <v/>
      </c>
      <c r="H52" s="2">
        <f>IFERROR(INDEX(Creative!C:C,MATCH(Identity!A51,Creative!A:A,0)),"")</f>
        <v/>
      </c>
      <c r="I52" s="2">
        <f>IFERROR(INDEX(Creative!D:D,MATCH(Identity!A51,Creative!A:A,0)),"")</f>
        <v/>
      </c>
      <c r="J52" s="2">
        <f>IFERROR(INDEX(Creative!E:E,MATCH(Identity!A51,Creative!A:A,0)),"")</f>
        <v/>
      </c>
      <c r="K52" s="2">
        <f>IFERROR(INDEX(Creative!F:F,MATCH(Identity!A51,Creative!A:A,0)),"")</f>
        <v/>
      </c>
      <c r="L52" s="2">
        <f>IFERROR(INDEX(Creative!G:G,MATCH(Identity!A51,Creative!A:A,0)),"")</f>
        <v/>
      </c>
      <c r="M52" s="2">
        <f>IFERROR(INDEX(Creative!H:H,MATCH(Identity!A51,Creative!A:A,0)),"")</f>
        <v/>
      </c>
      <c r="N52" s="2">
        <f>IFERROR(INDEX(Creative!I:I,MATCH(Identity!A51,Creative!A:A,0)),"")</f>
        <v/>
      </c>
      <c r="O52" s="2">
        <f>IFERROR(INDEX(Creative!J:J,MATCH(Identity!A51,Creative!A:A,0)),"")</f>
        <v/>
      </c>
      <c r="P52" s="2">
        <f>IFERROR(INDEX(Creative!K:K,MATCH(Identity!A51,Creative!A:A,0)),"")</f>
        <v/>
      </c>
      <c r="Q52" s="2">
        <f>IFERROR(INDEX(Creative!L:L,MATCH(Identity!A51,Creative!A:A,0)),"")</f>
        <v/>
      </c>
      <c r="R52" s="2">
        <f>IFERROR(INDEX(Creative!M:M,MATCH(Identity!A51,Creative!A:A,0)),"")</f>
        <v/>
      </c>
      <c r="S52" s="2">
        <f>IFERROR(INDEX(Creative!N:N,MATCH(Identity!A51,Creative!A:A,0)),"")</f>
        <v/>
      </c>
      <c r="T52" s="2">
        <f>IFERROR(INDEX(Creative!O:O,MATCH(Identity!A51,Creative!A:A,0)),"")</f>
        <v/>
      </c>
      <c r="U52" s="2">
        <f>IFERROR(INDEX(Creative!P:P,MATCH(Identity!A51,Creative!A:A,0)),"")</f>
        <v/>
      </c>
      <c r="V52" s="2">
        <f>IFERROR(INDEX(Creative!Q:Q,MATCH(Identity!A51,Creative!A:A,0)),"")</f>
        <v/>
      </c>
      <c r="W52" s="2">
        <f>IFERROR(INDEX(Performance!B:B,MATCH(Identity!A51,Performance!A:A,0)),"")</f>
        <v/>
      </c>
      <c r="X52" s="2">
        <f>IFERROR(INDEX(Performance!C:C,MATCH(Identity!A51,Performance!A:A,0)),"")</f>
        <v/>
      </c>
      <c r="Y52" s="2">
        <f>IFERROR(INDEX(Performance!D:D,MATCH(Identity!A51,Performance!A:A,0)),"")</f>
        <v/>
      </c>
      <c r="Z52" s="2">
        <f>IFERROR(INDEX(Performance!E:E,MATCH(Identity!A51,Performance!A:A,0)),"")</f>
        <v/>
      </c>
      <c r="AA52" s="2">
        <f>IFERROR(INDEX(Performance!F:F,MATCH(Identity!A51,Performance!A:A,0)),"")</f>
        <v/>
      </c>
      <c r="AB52" s="2">
        <f>IFERROR(INDEX(Performance!G:G,MATCH(Identity!A51,Performance!A:A,0)),"")</f>
        <v/>
      </c>
      <c r="AC52" s="2">
        <f>IFERROR(INDEX(Performance!H:H,MATCH(Identity!A51,Performance!A:A,0)),"")</f>
        <v/>
      </c>
      <c r="AD52" s="2">
        <f>IFERROR(INDEX(Performance!I:I,MATCH(Identity!A51,Performance!A:A,0)),"")</f>
        <v/>
      </c>
      <c r="AE52" s="2">
        <f>IFERROR(INDEX(Conversion!B:B,MATCH(Identity!A51,Conversion!A:A,0)),"")</f>
        <v/>
      </c>
      <c r="AF52" s="2">
        <f>IFERROR(INDEX(Conversion!C:C,MATCH(Identity!A51,Conversion!A:A,0)),"")</f>
        <v/>
      </c>
      <c r="AG52" s="2">
        <f>IFERROR(INDEX(Conversion!D:D,MATCH(Identity!A51,Conversion!A:A,0)),"")</f>
        <v/>
      </c>
      <c r="AH52" s="2">
        <f>IFERROR(INDEX(Conversion!E:E,MATCH(Identity!A51,Conversion!A:A,0)),"")</f>
        <v/>
      </c>
      <c r="AI52" s="2">
        <f>IFERROR(INDEX(Conversion!F:F,MATCH(Identity!A51,Conversion!A:A,0)),"")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2026-05-09T18:10:10Z</dcterms:created>
  <dcterms:modified xsi:type="dcterms:W3CDTF">2026-05-09T18:10:10Z</dcterms:modified>
</cp:coreProperties>
</file>